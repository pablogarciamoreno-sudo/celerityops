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blo\OneDrive - BOPAL\Escritorio\VS CODE\celerityops\SC Lead\"/>
    </mc:Choice>
  </mc:AlternateContent>
  <xr:revisionPtr revIDLastSave="0" documentId="8_{EBD707F7-5EB7-4536-A717-4851DF85A5EC}" xr6:coauthVersionLast="47" xr6:coauthVersionMax="47" xr10:uidLastSave="{00000000-0000-0000-0000-000000000000}"/>
  <bookViews>
    <workbookView xWindow="-96" yWindow="-96" windowWidth="23232" windowHeight="13872" tabRatio="500" xr2:uid="{00000000-000D-0000-FFFF-FFFF00000000}"/>
  </bookViews>
  <sheets>
    <sheet name="Registro Semanal" sheetId="1" r:id="rId1"/>
    <sheet name="Tracking Action Items" sheetId="2" r:id="rId2"/>
    <sheet name="Contacto Pacientes" sheetId="3" r:id="rId3"/>
    <sheet name="Start-up Tracker" sheetId="4" r:id="rId4"/>
    <sheet name="Consultas CRA-Sponsor" sheetId="5" r:id="rId5"/>
    <sheet name="Gestión Equipo" sheetId="6" r:id="rId6"/>
    <sheet name="Evaluación Sponsor" sheetId="7" r:id="rId7"/>
    <sheet name="Contingencias" sheetId="8" r:id="rId8"/>
    <sheet name="Audit Readiness" sheetId="9" r:id="rId9"/>
    <sheet name="Scorecard SC Lead" sheetId="10" r:id="rId10"/>
    <sheet name="Specs VS Code" sheetId="11" r:id="rId11"/>
    <sheet name="Guía Rápida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3" i="10" l="1"/>
  <c r="F48" i="10"/>
  <c r="D48" i="10"/>
  <c r="F47" i="10"/>
  <c r="D47" i="10"/>
  <c r="F46" i="10"/>
  <c r="D46" i="10"/>
  <c r="F45" i="10"/>
  <c r="E45" i="10"/>
  <c r="F44" i="10"/>
  <c r="D44" i="10"/>
  <c r="F43" i="10"/>
  <c r="D43" i="10"/>
  <c r="F37" i="10"/>
  <c r="F36" i="10"/>
  <c r="D34" i="10"/>
  <c r="D30" i="10"/>
  <c r="E27" i="10"/>
  <c r="D25" i="10"/>
  <c r="E19" i="10"/>
  <c r="D9" i="10"/>
  <c r="C17" i="9"/>
  <c r="E17" i="9" s="1"/>
  <c r="F30" i="10" s="1"/>
  <c r="H33" i="8"/>
  <c r="G33" i="8"/>
  <c r="G32" i="8"/>
  <c r="H32" i="8" s="1"/>
  <c r="G31" i="8"/>
  <c r="H31" i="8" s="1"/>
  <c r="G30" i="8"/>
  <c r="H30" i="8" s="1"/>
  <c r="G29" i="8"/>
  <c r="H29" i="8" s="1"/>
  <c r="H28" i="8"/>
  <c r="G28" i="8"/>
  <c r="G27" i="8"/>
  <c r="H27" i="8" s="1"/>
  <c r="G26" i="8"/>
  <c r="H26" i="8" s="1"/>
  <c r="G25" i="8"/>
  <c r="H25" i="8" s="1"/>
  <c r="G24" i="8"/>
  <c r="H24" i="8" s="1"/>
  <c r="G23" i="8"/>
  <c r="H23" i="8" s="1"/>
  <c r="H22" i="8"/>
  <c r="G22" i="8"/>
  <c r="G21" i="8"/>
  <c r="H21" i="8" s="1"/>
  <c r="G20" i="8"/>
  <c r="H20" i="8" s="1"/>
  <c r="G19" i="8"/>
  <c r="H19" i="8" s="1"/>
  <c r="G18" i="8"/>
  <c r="H18" i="8" s="1"/>
  <c r="H17" i="8"/>
  <c r="G17" i="8"/>
  <c r="G16" i="8"/>
  <c r="H16" i="8" s="1"/>
  <c r="G15" i="8"/>
  <c r="H15" i="8" s="1"/>
  <c r="G14" i="8"/>
  <c r="H14" i="8" s="1"/>
  <c r="G13" i="8"/>
  <c r="H13" i="8" s="1"/>
  <c r="G12" i="8"/>
  <c r="H12" i="8" s="1"/>
  <c r="H11" i="8"/>
  <c r="G11" i="8"/>
  <c r="G10" i="8"/>
  <c r="H10" i="8" s="1"/>
  <c r="G9" i="8"/>
  <c r="H9" i="8" s="1"/>
  <c r="G8" i="8"/>
  <c r="H8" i="8" s="1"/>
  <c r="G7" i="8"/>
  <c r="H7" i="8" s="1"/>
  <c r="H6" i="8"/>
  <c r="G6" i="8"/>
  <c r="G5" i="8"/>
  <c r="H5" i="8" s="1"/>
  <c r="G4" i="8"/>
  <c r="H4" i="8" s="1"/>
  <c r="C28" i="7"/>
  <c r="D41" i="10" s="1"/>
  <c r="C27" i="7"/>
  <c r="D39" i="10" s="1"/>
  <c r="H28" i="6"/>
  <c r="F28" i="6"/>
  <c r="H27" i="6"/>
  <c r="F27" i="6"/>
  <c r="H26" i="6"/>
  <c r="F26" i="6"/>
  <c r="G25" i="6"/>
  <c r="H25" i="6" s="1"/>
  <c r="F25" i="6"/>
  <c r="H24" i="6"/>
  <c r="F24" i="6"/>
  <c r="H23" i="6"/>
  <c r="F23" i="6"/>
  <c r="G53" i="5"/>
  <c r="H53" i="5" s="1"/>
  <c r="H52" i="5"/>
  <c r="G52" i="5"/>
  <c r="H51" i="5"/>
  <c r="G51" i="5"/>
  <c r="G50" i="5"/>
  <c r="H50" i="5" s="1"/>
  <c r="H49" i="5"/>
  <c r="G49" i="5"/>
  <c r="G48" i="5"/>
  <c r="H48" i="5" s="1"/>
  <c r="H47" i="5"/>
  <c r="G47" i="5"/>
  <c r="H46" i="5"/>
  <c r="G46" i="5"/>
  <c r="H45" i="5"/>
  <c r="G45" i="5"/>
  <c r="G44" i="5"/>
  <c r="H44" i="5" s="1"/>
  <c r="G43" i="5"/>
  <c r="H43" i="5" s="1"/>
  <c r="G42" i="5"/>
  <c r="H42" i="5" s="1"/>
  <c r="H41" i="5"/>
  <c r="G41" i="5"/>
  <c r="H40" i="5"/>
  <c r="G40" i="5"/>
  <c r="G39" i="5"/>
  <c r="H39" i="5" s="1"/>
  <c r="H38" i="5"/>
  <c r="G38" i="5"/>
  <c r="G37" i="5"/>
  <c r="H37" i="5" s="1"/>
  <c r="H36" i="5"/>
  <c r="G36" i="5"/>
  <c r="H35" i="5"/>
  <c r="G35" i="5"/>
  <c r="H34" i="5"/>
  <c r="G34" i="5"/>
  <c r="G33" i="5"/>
  <c r="H33" i="5" s="1"/>
  <c r="G32" i="5"/>
  <c r="H32" i="5" s="1"/>
  <c r="G31" i="5"/>
  <c r="H31" i="5" s="1"/>
  <c r="H30" i="5"/>
  <c r="G30" i="5"/>
  <c r="H29" i="5"/>
  <c r="G29" i="5"/>
  <c r="G28" i="5"/>
  <c r="H28" i="5" s="1"/>
  <c r="H27" i="5"/>
  <c r="G27" i="5"/>
  <c r="G26" i="5"/>
  <c r="H26" i="5" s="1"/>
  <c r="H25" i="5"/>
  <c r="G25" i="5"/>
  <c r="H24" i="5"/>
  <c r="G24" i="5"/>
  <c r="H23" i="5"/>
  <c r="G23" i="5"/>
  <c r="G22" i="5"/>
  <c r="H22" i="5" s="1"/>
  <c r="G21" i="5"/>
  <c r="H21" i="5" s="1"/>
  <c r="G20" i="5"/>
  <c r="H20" i="5" s="1"/>
  <c r="H19" i="5"/>
  <c r="G19" i="5"/>
  <c r="H18" i="5"/>
  <c r="G18" i="5"/>
  <c r="G17" i="5"/>
  <c r="H17" i="5" s="1"/>
  <c r="H16" i="5"/>
  <c r="G16" i="5"/>
  <c r="G15" i="5"/>
  <c r="H15" i="5" s="1"/>
  <c r="H14" i="5"/>
  <c r="G14" i="5"/>
  <c r="H13" i="5"/>
  <c r="G13" i="5"/>
  <c r="H12" i="5"/>
  <c r="G12" i="5"/>
  <c r="G11" i="5"/>
  <c r="H11" i="5" s="1"/>
  <c r="G10" i="5"/>
  <c r="H10" i="5" s="1"/>
  <c r="G9" i="5"/>
  <c r="H9" i="5" s="1"/>
  <c r="H8" i="5"/>
  <c r="G8" i="5"/>
  <c r="H7" i="5"/>
  <c r="G7" i="5"/>
  <c r="G6" i="5"/>
  <c r="H6" i="5" s="1"/>
  <c r="H5" i="5"/>
  <c r="G5" i="5"/>
  <c r="G4" i="5"/>
  <c r="H4" i="5" s="1"/>
  <c r="C32" i="4"/>
  <c r="D37" i="10" s="1"/>
  <c r="C31" i="4"/>
  <c r="D36" i="10" s="1"/>
  <c r="E29" i="4"/>
  <c r="F34" i="10" s="1"/>
  <c r="C29" i="4"/>
  <c r="I23" i="4"/>
  <c r="J23" i="4" s="1"/>
  <c r="F23" i="4"/>
  <c r="I22" i="4"/>
  <c r="J22" i="4" s="1"/>
  <c r="F22" i="4"/>
  <c r="I21" i="4"/>
  <c r="J21" i="4" s="1"/>
  <c r="F21" i="4"/>
  <c r="J20" i="4"/>
  <c r="I20" i="4"/>
  <c r="F20" i="4"/>
  <c r="J19" i="4"/>
  <c r="I19" i="4"/>
  <c r="F19" i="4"/>
  <c r="I18" i="4"/>
  <c r="J18" i="4" s="1"/>
  <c r="F18" i="4"/>
  <c r="I17" i="4"/>
  <c r="J17" i="4" s="1"/>
  <c r="F17" i="4"/>
  <c r="I16" i="4"/>
  <c r="J16" i="4" s="1"/>
  <c r="F16" i="4"/>
  <c r="J15" i="4"/>
  <c r="I15" i="4"/>
  <c r="F15" i="4"/>
  <c r="I14" i="4"/>
  <c r="J14" i="4" s="1"/>
  <c r="F14" i="4"/>
  <c r="J13" i="4"/>
  <c r="I13" i="4"/>
  <c r="F13" i="4"/>
  <c r="I12" i="4"/>
  <c r="J12" i="4" s="1"/>
  <c r="F12" i="4"/>
  <c r="I11" i="4"/>
  <c r="J11" i="4" s="1"/>
  <c r="F11" i="4"/>
  <c r="I10" i="4"/>
  <c r="J10" i="4" s="1"/>
  <c r="F10" i="4"/>
  <c r="I9" i="4"/>
  <c r="J9" i="4" s="1"/>
  <c r="F9" i="4"/>
  <c r="I8" i="4"/>
  <c r="J8" i="4" s="1"/>
  <c r="F8" i="4"/>
  <c r="J7" i="4"/>
  <c r="I7" i="4"/>
  <c r="F7" i="4"/>
  <c r="I6" i="4"/>
  <c r="J6" i="4" s="1"/>
  <c r="F6" i="4"/>
  <c r="I5" i="4"/>
  <c r="J5" i="4" s="1"/>
  <c r="F5" i="4"/>
  <c r="I4" i="4"/>
  <c r="J4" i="4" s="1"/>
  <c r="F4" i="4"/>
  <c r="C30" i="4" s="1"/>
  <c r="E54" i="3"/>
  <c r="F54" i="3" s="1"/>
  <c r="E53" i="3"/>
  <c r="F53" i="3" s="1"/>
  <c r="F52" i="3"/>
  <c r="E52" i="3"/>
  <c r="F51" i="3"/>
  <c r="E51" i="3"/>
  <c r="E50" i="3"/>
  <c r="F50" i="3" s="1"/>
  <c r="F49" i="3"/>
  <c r="E49" i="3"/>
  <c r="E48" i="3"/>
  <c r="F48" i="3" s="1"/>
  <c r="F47" i="3"/>
  <c r="E47" i="3"/>
  <c r="E46" i="3"/>
  <c r="F46" i="3" s="1"/>
  <c r="F45" i="3"/>
  <c r="E45" i="3"/>
  <c r="E44" i="3"/>
  <c r="F44" i="3" s="1"/>
  <c r="E43" i="3"/>
  <c r="F43" i="3" s="1"/>
  <c r="E42" i="3"/>
  <c r="F42" i="3" s="1"/>
  <c r="F41" i="3"/>
  <c r="E41" i="3"/>
  <c r="F40" i="3"/>
  <c r="E40" i="3"/>
  <c r="E39" i="3"/>
  <c r="F39" i="3" s="1"/>
  <c r="F38" i="3"/>
  <c r="E38" i="3"/>
  <c r="E37" i="3"/>
  <c r="F37" i="3" s="1"/>
  <c r="F36" i="3"/>
  <c r="E36" i="3"/>
  <c r="E35" i="3"/>
  <c r="F35" i="3" s="1"/>
  <c r="F34" i="3"/>
  <c r="E34" i="3"/>
  <c r="E33" i="3"/>
  <c r="F33" i="3" s="1"/>
  <c r="E32" i="3"/>
  <c r="F32" i="3" s="1"/>
  <c r="E31" i="3"/>
  <c r="F31" i="3" s="1"/>
  <c r="F30" i="3"/>
  <c r="E30" i="3"/>
  <c r="F29" i="3"/>
  <c r="E29" i="3"/>
  <c r="E28" i="3"/>
  <c r="F28" i="3" s="1"/>
  <c r="F27" i="3"/>
  <c r="E27" i="3"/>
  <c r="E26" i="3"/>
  <c r="F26" i="3" s="1"/>
  <c r="F25" i="3"/>
  <c r="E25" i="3"/>
  <c r="F24" i="3"/>
  <c r="E24" i="3"/>
  <c r="F23" i="3"/>
  <c r="E23" i="3"/>
  <c r="E22" i="3"/>
  <c r="F22" i="3" s="1"/>
  <c r="E21" i="3"/>
  <c r="F21" i="3" s="1"/>
  <c r="E20" i="3"/>
  <c r="F20" i="3" s="1"/>
  <c r="F19" i="3"/>
  <c r="E19" i="3"/>
  <c r="F18" i="3"/>
  <c r="E18" i="3"/>
  <c r="E17" i="3"/>
  <c r="F17" i="3" s="1"/>
  <c r="F16" i="3"/>
  <c r="E16" i="3"/>
  <c r="E15" i="3"/>
  <c r="F15" i="3" s="1"/>
  <c r="F14" i="3"/>
  <c r="E14" i="3"/>
  <c r="E13" i="3"/>
  <c r="F13" i="3" s="1"/>
  <c r="F12" i="3"/>
  <c r="E12" i="3"/>
  <c r="E11" i="3"/>
  <c r="F11" i="3" s="1"/>
  <c r="E10" i="3"/>
  <c r="F10" i="3" s="1"/>
  <c r="E9" i="3"/>
  <c r="C58" i="3" s="1"/>
  <c r="F8" i="3"/>
  <c r="E8" i="3"/>
  <c r="F7" i="3"/>
  <c r="E7" i="3"/>
  <c r="E6" i="3"/>
  <c r="F6" i="3" s="1"/>
  <c r="F5" i="3"/>
  <c r="E5" i="3"/>
  <c r="C59" i="3" s="1"/>
  <c r="E59" i="3" s="1"/>
  <c r="C53" i="2"/>
  <c r="D29" i="10" s="1"/>
  <c r="E52" i="2"/>
  <c r="F28" i="10" s="1"/>
  <c r="C52" i="2"/>
  <c r="D28" i="10" s="1"/>
  <c r="D51" i="2"/>
  <c r="C50" i="2"/>
  <c r="D26" i="10" s="1"/>
  <c r="E49" i="2"/>
  <c r="F25" i="10" s="1"/>
  <c r="C49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C51" i="2" s="1"/>
  <c r="D27" i="10" s="1"/>
  <c r="L8" i="2"/>
  <c r="K8" i="2"/>
  <c r="L7" i="2"/>
  <c r="K7" i="2"/>
  <c r="L6" i="2"/>
  <c r="K6" i="2"/>
  <c r="L5" i="2"/>
  <c r="K5" i="2"/>
  <c r="H42" i="1"/>
  <c r="G42" i="1"/>
  <c r="D53" i="10" s="1"/>
  <c r="I41" i="1"/>
  <c r="F51" i="10" s="1"/>
  <c r="G41" i="1"/>
  <c r="D51" i="10" s="1"/>
  <c r="G40" i="1"/>
  <c r="I40" i="1" s="1"/>
  <c r="F50" i="10" s="1"/>
  <c r="I33" i="1"/>
  <c r="F23" i="10" s="1"/>
  <c r="G33" i="1"/>
  <c r="D23" i="10" s="1"/>
  <c r="I32" i="1"/>
  <c r="F22" i="10" s="1"/>
  <c r="G32" i="1"/>
  <c r="D22" i="10" s="1"/>
  <c r="I31" i="1"/>
  <c r="F21" i="10" s="1"/>
  <c r="G31" i="1"/>
  <c r="D21" i="10" s="1"/>
  <c r="I30" i="1"/>
  <c r="F20" i="10" s="1"/>
  <c r="G30" i="1"/>
  <c r="D20" i="10" s="1"/>
  <c r="H29" i="1"/>
  <c r="G29" i="1"/>
  <c r="D19" i="10" s="1"/>
  <c r="I22" i="1"/>
  <c r="F17" i="10" s="1"/>
  <c r="G22" i="1"/>
  <c r="D17" i="10" s="1"/>
  <c r="G21" i="1"/>
  <c r="I21" i="1" s="1"/>
  <c r="F16" i="10" s="1"/>
  <c r="G20" i="1"/>
  <c r="I20" i="1" s="1"/>
  <c r="F15" i="10" s="1"/>
  <c r="G19" i="1"/>
  <c r="I19" i="1" s="1"/>
  <c r="F14" i="10" s="1"/>
  <c r="G11" i="1"/>
  <c r="I11" i="1" s="1"/>
  <c r="F12" i="10" s="1"/>
  <c r="I10" i="1"/>
  <c r="F11" i="10" s="1"/>
  <c r="G10" i="1"/>
  <c r="D11" i="10" s="1"/>
  <c r="G9" i="1"/>
  <c r="I9" i="1" s="1"/>
  <c r="F9" i="10" s="1"/>
  <c r="I8" i="1"/>
  <c r="F8" i="10" s="1"/>
  <c r="G8" i="1"/>
  <c r="D8" i="10" s="1"/>
  <c r="D35" i="10" l="1"/>
  <c r="E30" i="4"/>
  <c r="F35" i="10" s="1"/>
  <c r="E58" i="3"/>
  <c r="F10" i="10" s="1"/>
  <c r="D10" i="10"/>
  <c r="I29" i="1"/>
  <c r="F19" i="10" s="1"/>
  <c r="D45" i="10"/>
  <c r="E51" i="2"/>
  <c r="F27" i="10" s="1"/>
  <c r="C37" i="8"/>
  <c r="E27" i="7"/>
  <c r="F39" i="10" s="1"/>
  <c r="E28" i="7"/>
  <c r="F41" i="10" s="1"/>
  <c r="F9" i="3"/>
  <c r="C27" i="4"/>
  <c r="C57" i="5"/>
  <c r="C28" i="4"/>
  <c r="D50" i="10"/>
  <c r="D12" i="10"/>
  <c r="E50" i="2"/>
  <c r="F26" i="10" s="1"/>
  <c r="D14" i="10"/>
  <c r="D15" i="10"/>
  <c r="I42" i="1"/>
  <c r="F53" i="10" s="1"/>
  <c r="D16" i="10"/>
  <c r="E53" i="2"/>
  <c r="F29" i="10" s="1"/>
  <c r="E28" i="4" l="1"/>
  <c r="F33" i="10" s="1"/>
  <c r="D33" i="10"/>
  <c r="D40" i="10"/>
  <c r="E57" i="5"/>
  <c r="F40" i="10" s="1"/>
  <c r="B58" i="10" s="1"/>
  <c r="E27" i="4"/>
  <c r="F32" i="10" s="1"/>
  <c r="B56" i="10" s="1"/>
  <c r="D32" i="10"/>
  <c r="D52" i="10"/>
  <c r="E37" i="8"/>
  <c r="F52" i="10" s="1"/>
  <c r="B57" i="10" l="1"/>
</calcChain>
</file>

<file path=xl/sharedStrings.xml><?xml version="1.0" encoding="utf-8"?>
<sst xmlns="http://schemas.openxmlformats.org/spreadsheetml/2006/main" count="1037" uniqueCount="619">
  <si>
    <t>📊 REGISTRO SEMANAL - SC LEAD</t>
  </si>
  <si>
    <t>Semana:</t>
  </si>
  <si>
    <t>Período:</t>
  </si>
  <si>
    <t>Sitio:</t>
  </si>
  <si>
    <t>⏱️ Tiempo: 10-15 min | Complete solo celdas AZULES | Los KPIs se calculan automáticamente</t>
  </si>
  <si>
    <t>🎯 RECLUTAMIENTO</t>
  </si>
  <si>
    <t>📈 KPIs CALCULADOS</t>
  </si>
  <si>
    <t>Métrica</t>
  </si>
  <si>
    <t>Valor</t>
  </si>
  <si>
    <t>Notas</t>
  </si>
  <si>
    <t>ID</t>
  </si>
  <si>
    <t>KPI</t>
  </si>
  <si>
    <t>Meta</t>
  </si>
  <si>
    <t>Estado</t>
  </si>
  <si>
    <t>Pacientes screeneados (semana)</t>
  </si>
  <si>
    <t>SC-001</t>
  </si>
  <si>
    <t>Screen Failure Rate</t>
  </si>
  <si>
    <t>≤15%</t>
  </si>
  <si>
    <t>Pacientes randomizados (semana)</t>
  </si>
  <si>
    <t>SC-002</t>
  </si>
  <si>
    <t>Conversión Screening→Random</t>
  </si>
  <si>
    <t>≥35%</t>
  </si>
  <si>
    <t>Screen Failures (semana)</t>
  </si>
  <si>
    <t>SC-004</t>
  </si>
  <si>
    <t>% Cumplimiento Target Mes</t>
  </si>
  <si>
    <t>≥85%</t>
  </si>
  <si>
    <t>Target reclutamiento mensual</t>
  </si>
  <si>
    <t>SC-005</t>
  </si>
  <si>
    <t>Randomizados vs Proyección</t>
  </si>
  <si>
    <t>≥90%</t>
  </si>
  <si>
    <t>Randomizados acumulado mes</t>
  </si>
  <si>
    <t>Proyección randomizados semana</t>
  </si>
  <si>
    <t>Randomizados reales semana</t>
  </si>
  <si>
    <t>📋 EJECUCIÓN DE VISITAS</t>
  </si>
  <si>
    <t>Visitas planificadas (semana)</t>
  </si>
  <si>
    <t>SC-006</t>
  </si>
  <si>
    <t>% Visitas Completadas</t>
  </si>
  <si>
    <t>Visitas completadas</t>
  </si>
  <si>
    <t>SC-007</t>
  </si>
  <si>
    <t>% Adherencia Ventana Visita</t>
  </si>
  <si>
    <t>Visitas dentro de ventana protocolo</t>
  </si>
  <si>
    <t>SC-008</t>
  </si>
  <si>
    <t>% Procedimientos Completos</t>
  </si>
  <si>
    <t>≥95%</t>
  </si>
  <si>
    <t>Visitas con procedimientos completos</t>
  </si>
  <si>
    <t>SC-009</t>
  </si>
  <si>
    <t>Retención Pacientes (mes)</t>
  </si>
  <si>
    <t>Pacientes activos (ongoing) inicio mes</t>
  </si>
  <si>
    <t>Pacientes retirados/perdidos mes</t>
  </si>
  <si>
    <t>⚠️ SEGURIDAD Y COMPLIANCE</t>
  </si>
  <si>
    <t>SAEs identificados (semana)</t>
  </si>
  <si>
    <t>SC-010</t>
  </si>
  <si>
    <t>% SAEs Reportados en Plazo</t>
  </si>
  <si>
    <t>SAEs reportados en &lt;24h</t>
  </si>
  <si>
    <t>SC-011</t>
  </si>
  <si>
    <t>Desviaciones Mayores (sem)</t>
  </si>
  <si>
    <t>≤2</t>
  </si>
  <si>
    <t>Desviaciones mayores (semana)</t>
  </si>
  <si>
    <t>SC-012</t>
  </si>
  <si>
    <t>Tasa Desviaciones Protocolo</t>
  </si>
  <si>
    <t>≤3%</t>
  </si>
  <si>
    <t>Total desviaciones mes</t>
  </si>
  <si>
    <t>SC-013</t>
  </si>
  <si>
    <t>Tasa Desviaciones Mayores</t>
  </si>
  <si>
    <t>≤1%</t>
  </si>
  <si>
    <t>Total visitas/procedimientos mes</t>
  </si>
  <si>
    <t>SC-014</t>
  </si>
  <si>
    <t>CAPAs Abiertas</t>
  </si>
  <si>
    <t>≤3</t>
  </si>
  <si>
    <t>Desviaciones mayores mes</t>
  </si>
  <si>
    <t>CAPAs abiertas del área</t>
  </si>
  <si>
    <t>⚙️ EFICIENCIA OPERATIVA</t>
  </si>
  <si>
    <t>Total coordinadores activos</t>
  </si>
  <si>
    <t>SC-040</t>
  </si>
  <si>
    <t>Estudios por Coordinador</t>
  </si>
  <si>
    <t>3-5</t>
  </si>
  <si>
    <t>Total estudios activos</t>
  </si>
  <si>
    <t>SC-041</t>
  </si>
  <si>
    <t>Pacientes por Coordinador</t>
  </si>
  <si>
    <t>15-25</t>
  </si>
  <si>
    <t>Total pacientes activos (ongoing)</t>
  </si>
  <si>
    <t>SC-043</t>
  </si>
  <si>
    <t>% Participación MV/SIV</t>
  </si>
  <si>
    <t>MV/SIV programadas semana</t>
  </si>
  <si>
    <t>MV/SIV con participación SC Lead</t>
  </si>
  <si>
    <t>📝 TRACKING ACTION ITEMS - MONITORING VISITS</t>
  </si>
  <si>
    <t>Registre cada Action Item. Las métricas se calculan automáticamente abajo.</t>
  </si>
  <si>
    <t>Estudio</t>
  </si>
  <si>
    <t>Fecha MV</t>
  </si>
  <si>
    <t>Descripción</t>
  </si>
  <si>
    <t>Categoría</t>
  </si>
  <si>
    <t>Severidad</t>
  </si>
  <si>
    <t>Responsable</t>
  </si>
  <si>
    <t>Fecha Límite</t>
  </si>
  <si>
    <t>Fecha Cierre</t>
  </si>
  <si>
    <t>Días Abierto</t>
  </si>
  <si>
    <t>¿En Plazo?</t>
  </si>
  <si>
    <t>AI-001</t>
  </si>
  <si>
    <t>AI-002</t>
  </si>
  <si>
    <t>AI-003</t>
  </si>
  <si>
    <t>AI-004</t>
  </si>
  <si>
    <t>AI-005</t>
  </si>
  <si>
    <t>AI-006</t>
  </si>
  <si>
    <t>AI-007</t>
  </si>
  <si>
    <t>AI-008</t>
  </si>
  <si>
    <t>AI-009</t>
  </si>
  <si>
    <t>AI-010</t>
  </si>
  <si>
    <t>AI-011</t>
  </si>
  <si>
    <t>AI-012</t>
  </si>
  <si>
    <t>AI-013</t>
  </si>
  <si>
    <t>AI-014</t>
  </si>
  <si>
    <t>AI-015</t>
  </si>
  <si>
    <t>AI-016</t>
  </si>
  <si>
    <t>AI-017</t>
  </si>
  <si>
    <t>AI-018</t>
  </si>
  <si>
    <t>AI-019</t>
  </si>
  <si>
    <t>AI-020</t>
  </si>
  <si>
    <t>AI-021</t>
  </si>
  <si>
    <t>AI-022</t>
  </si>
  <si>
    <t>AI-023</t>
  </si>
  <si>
    <t>AI-024</t>
  </si>
  <si>
    <t>AI-025</t>
  </si>
  <si>
    <t>AI-026</t>
  </si>
  <si>
    <t>AI-027</t>
  </si>
  <si>
    <t>AI-028</t>
  </si>
  <si>
    <t>AI-029</t>
  </si>
  <si>
    <t>AI-030</t>
  </si>
  <si>
    <t>AI-031</t>
  </si>
  <si>
    <t>AI-032</t>
  </si>
  <si>
    <t>AI-033</t>
  </si>
  <si>
    <t>AI-034</t>
  </si>
  <si>
    <t>AI-035</t>
  </si>
  <si>
    <t>AI-036</t>
  </si>
  <si>
    <t>AI-037</t>
  </si>
  <si>
    <t>AI-038</t>
  </si>
  <si>
    <t>AI-039</t>
  </si>
  <si>
    <t>AI-040</t>
  </si>
  <si>
    <t>📊 MÉTRICAS AUTOMÁTICAS - ACTION ITEMS</t>
  </si>
  <si>
    <t>SC-019</t>
  </si>
  <si>
    <t>Action Items Abiertos</t>
  </si>
  <si>
    <t>≤5</t>
  </si>
  <si>
    <t>SC-020</t>
  </si>
  <si>
    <t>% AI Cerrados en Plazo (≤15d)</t>
  </si>
  <si>
    <t>SC-021</t>
  </si>
  <si>
    <t>AI Vencidos (&gt;15 días abiertos)</t>
  </si>
  <si>
    <t>SC-022</t>
  </si>
  <si>
    <t>Promedio Días Cierre</t>
  </si>
  <si>
    <t>≤10</t>
  </si>
  <si>
    <t>SC-023</t>
  </si>
  <si>
    <t>% Major Findings</t>
  </si>
  <si>
    <t>≤5%</t>
  </si>
  <si>
    <t>📞 REGISTRO CONTACTO PACIENTES - TIEMPO DE RESPUESTA</t>
  </si>
  <si>
    <t>Registre cada paciente derivado para medir tiempo de contacto (KPI SC-003)</t>
  </si>
  <si>
    <t>Fecha Derivación</t>
  </si>
  <si>
    <t>Fecha Contacto</t>
  </si>
  <si>
    <t>Días hasta Contacto</t>
  </si>
  <si>
    <t>¿En Meta?</t>
  </si>
  <si>
    <t>Fuente Derivación</t>
  </si>
  <si>
    <t>Comentario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</si>
  <si>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</si>
  <si>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</si>
  <si>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</si>
  <si>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</si>
  <si>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</si>
  <si>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</si>
  <si>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</si>
  <si>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</si>
  <si>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</si>
  <si>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</si>
  <si>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</si>
  <si>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</si>
  <si>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</si>
  <si>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</si>
  <si>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</si>
  <si>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</si>
  <si>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</si>
  <si>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</si>
  <si>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</si>
  <si>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</si>
  <si>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</si>
  <si>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</si>
  <si>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</si>
  <si>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</si>
  <si>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</si>
  <si>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</si>
  <si>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</si>
  <si>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</si>
  <si>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</si>
  <si>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</si>
  <si>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</si>
  <si>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</si>
  <si>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</si>
  <si>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</si>
  <si>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</si>
  <si>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</si>
  <si>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</si>
  <si>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</si>
  <si>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</si>
  <si>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</si>
  <si>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</si>
  <si>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</si>
  <si>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</si>
  <si>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</si>
  <si>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</si>
  <si>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</si>
  <si>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</si>
  <si>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</si>
  <si>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</si>
  <si>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</si>
  <si>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📊 MÉTRICAS</t>
  </si>
  <si>
    <t>SC-003</t>
  </si>
  <si>
    <t>Tiempo Promedio Derivación→Contacto</t>
  </si>
  <si>
    <t>≤1 día</t>
  </si>
  <si>
    <t>% Contactados en ≤1 día</t>
  </si>
  <si>
    <t>🚀 START-UP TRACKER - ESTUDIOS EN ACTIVACIÓN</t>
  </si>
  <si>
    <t>Sponsor</t>
  </si>
  <si>
    <t>Fecha Sometimiento EC</t>
  </si>
  <si>
    <t>Fecha Aprobación EC</t>
  </si>
  <si>
    <t>Días Ciclo EC</t>
  </si>
  <si>
    <t>Fecha Última Aprobación</t>
  </si>
  <si>
    <t>Fecha FPFV</t>
  </si>
  <si>
    <t>Días hasta FPFV</t>
  </si>
  <si>
    <t>¿FPFV ≤30d?</t>
  </si>
  <si>
    <t>Re-sometimiento?</t>
  </si>
  <si>
    <t>ST-001</t>
  </si>
  <si>
    <t>ST-002</t>
  </si>
  <si>
    <t>ST-003</t>
  </si>
  <si>
    <t>ST-004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</si>
  <si>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</si>
  <si>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</si>
  <si>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</si>
  <si>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</si>
  <si>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</si>
  <si>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</si>
  <si>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</si>
  <si>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</si>
  <si>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ST-013</t>
  </si>
  <si>
    <t>ST-014</t>
  </si>
  <si>
    <t>ST-015</t>
  </si>
  <si>
    <t>ST-016</t>
  </si>
  <si>
    <t>ST-017</t>
  </si>
  <si>
    <t>ST-018</t>
  </si>
  <si>
    <t>ST-019</t>
  </si>
  <si>
    <t>ST-020</t>
  </si>
  <si>
    <t>📊 MÉTRICAS START-UP</t>
  </si>
  <si>
    <t>SC-025</t>
  </si>
  <si>
    <t>Tiempo Promedio hasta FPFV</t>
  </si>
  <si>
    <t>≤30 días</t>
  </si>
  <si>
    <t>SC-026</t>
  </si>
  <si>
    <t>% Estudios con FPFV ≤30 días</t>
  </si>
  <si>
    <t>SC-027</t>
  </si>
  <si>
    <t>% Sometimientos sin Re-sometimiento</t>
  </si>
  <si>
    <t>SC-028</t>
  </si>
  <si>
    <t>Tiempo Promedio Ciclo EC</t>
  </si>
  <si>
    <t>≤45 días</t>
  </si>
  <si>
    <t>SC-029</t>
  </si>
  <si>
    <t>Estudios en Start-Up Activos</t>
  </si>
  <si>
    <t>Info</t>
  </si>
  <si>
    <t>ℹ️</t>
  </si>
  <si>
    <t>SC-030</t>
  </si>
  <si>
    <t>Enmiendas Pendientes</t>
  </si>
  <si>
    <t>📧 REGISTRO CONSULTAS CRA/SPONSOR</t>
  </si>
  <si>
    <t>Fecha Recepción</t>
  </si>
  <si>
    <t>Origen</t>
  </si>
  <si>
    <t>Fecha Respuesta</t>
  </si>
  <si>
    <t>Horas hasta Respuesta</t>
  </si>
  <si>
    <t>Q-001</t>
  </si>
  <si>
    <t>Q-002</t>
  </si>
  <si>
    <t>Q-003</t>
  </si>
  <si>
    <t>Q-004</t>
  </si>
  <si>
    <t>Q-005</t>
  </si>
  <si>
    <t>Q-006</t>
  </si>
  <si>
    <t>Q-007</t>
  </si>
  <si>
    <t>Q-008</t>
  </si>
  <si>
    <t>Q-009</t>
  </si>
  <si>
    <t>Q-010</t>
  </si>
  <si>
    <t>Q-011</t>
  </si>
  <si>
    <t>Q-012</t>
  </si>
  <si>
    <t>Q-013</t>
  </si>
  <si>
    <t>Q-014</t>
  </si>
  <si>
    <t>Q-015</t>
  </si>
  <si>
    <t>Q-016</t>
  </si>
  <si>
    <t>Q-017</t>
  </si>
  <si>
    <t>Q-018</t>
  </si>
  <si>
    <t>Q-019</t>
  </si>
  <si>
    <t>Q-020</t>
  </si>
  <si>
    <t>Q-021</t>
  </si>
  <si>
    <t>Q-022</t>
  </si>
  <si>
    <t>Q-023</t>
  </si>
  <si>
    <t>Q-024</t>
  </si>
  <si>
    <t>Q-025</t>
  </si>
  <si>
    <t>Q-026</t>
  </si>
  <si>
    <t>Q-027</t>
  </si>
  <si>
    <t>Q-028</t>
  </si>
  <si>
    <t>Q-029</t>
  </si>
  <si>
    <t>Q-030</t>
  </si>
  <si>
    <t>Q-031</t>
  </si>
  <si>
    <t>Q-032</t>
  </si>
  <si>
    <t>Q-033</t>
  </si>
  <si>
    <t>Q-034</t>
  </si>
  <si>
    <t>Q-035</t>
  </si>
  <si>
    <t>Q-036</t>
  </si>
  <si>
    <t>Q-037</t>
  </si>
  <si>
    <t>Q-038</t>
  </si>
  <si>
    <t>Q-039</t>
  </si>
  <si>
    <t>Q-040</t>
  </si>
  <si>
    <t>Q-041</t>
  </si>
  <si>
    <t>Q-042</t>
  </si>
  <si>
    <t>Q-043</t>
  </si>
  <si>
    <t>Q-044</t>
  </si>
  <si>
    <t>Q-045</t>
  </si>
  <si>
    <t>Q-046</t>
  </si>
  <si>
    <t>Q-047</t>
  </si>
  <si>
    <t>Q-048</t>
  </si>
  <si>
    <t>Q-049</t>
  </si>
  <si>
    <t>Q-050</t>
  </si>
  <si>
    <t>📊 MÉTRICAS CONSULTAS</t>
  </si>
  <si>
    <t>SC-032</t>
  </si>
  <si>
    <t>% Consultas Respondidas ≤48h</t>
  </si>
  <si>
    <t>👥 GESTIÓN DE EQUIPO - SC LEAD</t>
  </si>
  <si>
    <t>📋 ROSTER DEL EQUIPO</t>
  </si>
  <si>
    <t>#</t>
  </si>
  <si>
    <t>Nombre</t>
  </si>
  <si>
    <t>Cargo</t>
  </si>
  <si>
    <t>Fecha Ingreso</t>
  </si>
  <si>
    <t>GCP Vigente?</t>
  </si>
  <si>
    <t>Venc. GCP</t>
  </si>
  <si>
    <t>Eval. Desempeño</t>
  </si>
  <si>
    <t>Workload Score</t>
  </si>
  <si>
    <t>Estudios Asig.</t>
  </si>
  <si>
    <t>Pacientes Asig.</t>
  </si>
  <si>
    <t>📊 MOVIMIENTOS DE PERSONAL (Año actual)</t>
  </si>
  <si>
    <t>SC-034</t>
  </si>
  <si>
    <t>Turnover Anual</t>
  </si>
  <si>
    <t>≤18%</t>
  </si>
  <si>
    <t>Headcount inicio año</t>
  </si>
  <si>
    <t>SC-035</t>
  </si>
  <si>
    <t>% Eval. Satisfactoria</t>
  </si>
  <si>
    <t>≥80%</t>
  </si>
  <si>
    <t>Ingresos año</t>
  </si>
  <si>
    <t>SC-036</t>
  </si>
  <si>
    <t>% GCP Vigente</t>
  </si>
  <si>
    <t>Salidas año</t>
  </si>
  <si>
    <t>SC-037</t>
  </si>
  <si>
    <t>Span of Control</t>
  </si>
  <si>
    <t>≤8</t>
  </si>
  <si>
    <t>Headcount actual</t>
  </si>
  <si>
    <t>SC-038</t>
  </si>
  <si>
    <t>% Training Completado</t>
  </si>
  <si>
    <t>SC-039</t>
  </si>
  <si>
    <t>Workload Score Prom.</t>
  </si>
  <si>
    <t>2.5-3.5</t>
  </si>
  <si>
    <t>📚 TRAINING</t>
  </si>
  <si>
    <t>Trainings planificados mes</t>
  </si>
  <si>
    <t>Trainings completados mes</t>
  </si>
  <si>
    <t>⭐ EVALUACIÓN DE SPONSORS - TRIMESTRAL</t>
  </si>
  <si>
    <t>Trimestre</t>
  </si>
  <si>
    <t>Score Performance (1-5)</t>
  </si>
  <si>
    <t>NPS (0-10)</t>
  </si>
  <si>
    <t>Comentarios</t>
  </si>
  <si>
    <t>Fecha Evaluación</t>
  </si>
  <si>
    <t>📊 MÉTRICAS SATISFACCIÓN</t>
  </si>
  <si>
    <t>SC-031</t>
  </si>
  <si>
    <t>Score Promedio Performance</t>
  </si>
  <si>
    <t>≥4.0/5.0</t>
  </si>
  <si>
    <t>SC-033</t>
  </si>
  <si>
    <t>NPS Promedio Sponsors</t>
  </si>
  <si>
    <t>≥8.0/10</t>
  </si>
  <si>
    <t>🔥 REGISTRO DE CONTINGENCIAS</t>
  </si>
  <si>
    <t>Fecha Reporte</t>
  </si>
  <si>
    <t>Prioridad</t>
  </si>
  <si>
    <t>Fecha Resolución</t>
  </si>
  <si>
    <t>Horas Resolución</t>
  </si>
  <si>
    <t>C-001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</si>
  <si>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</si>
  <si>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</si>
  <si>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</si>
  <si>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</si>
  <si>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</si>
  <si>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</si>
  <si>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</si>
  <si>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</si>
  <si>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</si>
  <si>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C-011</t>
  </si>
  <si>
    <t>C-012</t>
  </si>
  <si>
    <t>C-013</t>
  </si>
  <si>
    <t>C-014</t>
  </si>
  <si>
    <t>C-015</t>
  </si>
  <si>
    <t>C-016</t>
  </si>
  <si>
    <t>C-017</t>
  </si>
  <si>
    <t>C-018</t>
  </si>
  <si>
    <t>C-019</t>
  </si>
  <si>
    <t>C-020</t>
  </si>
  <si>
    <t>C-021</t>
  </si>
  <si>
    <t>C-022</t>
  </si>
  <si>
    <t>C-023</t>
  </si>
  <si>
    <t>C-024</t>
  </si>
  <si>
    <t>C-025</t>
  </si>
  <si>
    <t>C-026</t>
  </si>
  <si>
    <t>C-027</t>
  </si>
  <si>
    <t>C-028</t>
  </si>
  <si>
    <t>C-029</t>
  </si>
  <si>
    <t>C-030</t>
  </si>
  <si>
    <t>📊 MÉTRICA</t>
  </si>
  <si>
    <t>SC-042</t>
  </si>
  <si>
    <t>Tiempo Promedio Resolución</t>
  </si>
  <si>
    <t>≤4 horas</t>
  </si>
  <si>
    <t>🔍 AUDIT READINESS CHECKLIST - MENSUAL</t>
  </si>
  <si>
    <t>Mes/Año:</t>
  </si>
  <si>
    <t>Área de Evaluación</t>
  </si>
  <si>
    <t>Criterio</t>
  </si>
  <si>
    <t>Cumple?</t>
  </si>
  <si>
    <t>Evidencia/Comentario</t>
  </si>
  <si>
    <t>Peso</t>
  </si>
  <si>
    <t>ISF completos y actualizados</t>
  </si>
  <si>
    <t>Todos los ISF tienen documentos esenciales actualizados</t>
  </si>
  <si>
    <t>Regulatory files vigentes</t>
  </si>
  <si>
    <t>Aprobaciones EC y regulatorias al día</t>
  </si>
  <si>
    <t>Logs de delegación actualizados</t>
  </si>
  <si>
    <t>Delegation logs y training logs completos</t>
  </si>
  <si>
    <t>Consentimientos verificados</t>
  </si>
  <si>
    <t>ICFs firmados, fechados y versión correcta</t>
  </si>
  <si>
    <t>Source documents completos</t>
  </si>
  <si>
    <t>Documentos fuente para todas las visitas</t>
  </si>
  <si>
    <t>SAEs documentados</t>
  </si>
  <si>
    <t>Todos los SAEs con documentación completa</t>
  </si>
  <si>
    <t>Desviaciones documentadas</t>
  </si>
  <si>
    <t>Todas las desviaciones reportadas y con CAPA</t>
  </si>
  <si>
    <t>eTMF actualizado</t>
  </si>
  <si>
    <t>Documentos subidos según timeline requerido</t>
  </si>
  <si>
    <t>📊 SCORE</t>
  </si>
  <si>
    <t>SC-024</t>
  </si>
  <si>
    <t>Audit Readiness Score</t>
  </si>
  <si>
    <t>📊 SCORECARD CONSOLIDADO - SC LEAD</t>
  </si>
  <si>
    <t>Este scorecard consolida automáticamente los KPIs de todas las hojas de registro</t>
  </si>
  <si>
    <t>Conversión Screening→Randomizado</t>
  </si>
  <si>
    <t>Tiempo Derivación→Contacto</t>
  </si>
  <si>
    <t>% Cumplimiento Targets Reclutamiento</t>
  </si>
  <si>
    <t>Retención de Pacientes (mes)</t>
  </si>
  <si>
    <t>Desviaciones Mayores (semana)</t>
  </si>
  <si>
    <t>📝 MONITORING ACTION ITEMS</t>
  </si>
  <si>
    <t>AI Vencidos (&gt;15 días)</t>
  </si>
  <si>
    <t>Promedio Días Cierre AI</t>
  </si>
  <si>
    <t>% Major Findings en MV</t>
  </si>
  <si>
    <t>🚀 START-UP Y REGULATORIO</t>
  </si>
  <si>
    <t>Tiempo hasta FPFV (días)</t>
  </si>
  <si>
    <t>≤30</t>
  </si>
  <si>
    <t>Tiempo Ciclo Aprobación EC</t>
  </si>
  <si>
    <t>⭐ SATISFACCIÓN PATROCINADORES</t>
  </si>
  <si>
    <t>Score Evaluación Performance</t>
  </si>
  <si>
    <t>% Consultas CRA/Sponsor ≤48h</t>
  </si>
  <si>
    <t>NPS de Sponsors</t>
  </si>
  <si>
    <t>👥 GESTIÓN DE EQUIPO</t>
  </si>
  <si>
    <t>Turnover Anual Equipo</t>
  </si>
  <si>
    <t>% Equipo Evaluación Satisfactoria</t>
  </si>
  <si>
    <t>% Equipo GCP Vigente</t>
  </si>
  <si>
    <t>Training Completado vs Plan</t>
  </si>
  <si>
    <t>Workload Score Equipo</t>
  </si>
  <si>
    <t>Tiempo Resolución Contingencias</t>
  </si>
  <si>
    <t>≤4h</t>
  </si>
  <si>
    <t>📈 RESUMEN</t>
  </si>
  <si>
    <t>KPIs en Meta (✅):</t>
  </si>
  <si>
    <t>KPIs en Alerta (⚠️):</t>
  </si>
  <si>
    <t>KPIs Críticos (❌):</t>
  </si>
  <si>
    <t>🔧 ESPECIFICACIONES TÉCNICAS - MÓDULO SC LEAD</t>
  </si>
  <si>
    <t>Estructura de datos para implementación en React/TypeScript + Supabase (sin KPIs de Data Quality)</t>
  </si>
  <si>
    <t>KPI Key</t>
  </si>
  <si>
    <t>Label</t>
  </si>
  <si>
    <t>Tipo Dato</t>
  </si>
  <si>
    <t>Operador</t>
  </si>
  <si>
    <t>Unidad</t>
  </si>
  <si>
    <t>Frecuencia</t>
  </si>
  <si>
    <t>screen_failure_rate</t>
  </si>
  <si>
    <t>percentage</t>
  </si>
  <si>
    <t>&lt;=</t>
  </si>
  <si>
    <t>%</t>
  </si>
  <si>
    <t>Semanal</t>
  </si>
  <si>
    <t>recruitment</t>
  </si>
  <si>
    <t>conversion_screening_randomized</t>
  </si>
  <si>
    <t>&gt;=</t>
  </si>
  <si>
    <t>days_referral_to_contact</t>
  </si>
  <si>
    <t>number</t>
  </si>
  <si>
    <t>días</t>
  </si>
  <si>
    <t>Por paciente</t>
  </si>
  <si>
    <t>recruitment_target_compliance</t>
  </si>
  <si>
    <t>Mensual</t>
  </si>
  <si>
    <t>randomized_vs_projection</t>
  </si>
  <si>
    <t>visits_completed_pct</t>
  </si>
  <si>
    <t>execution</t>
  </si>
  <si>
    <t>visit_window_adherence</t>
  </si>
  <si>
    <t>procedures_complete_pct</t>
  </si>
  <si>
    <t>% Procedimientos Completos por Visita</t>
  </si>
  <si>
    <t>patient_retention_monthly</t>
  </si>
  <si>
    <t>Retención de Pacientes</t>
  </si>
  <si>
    <t>sae_reported_on_time</t>
  </si>
  <si>
    <t>=</t>
  </si>
  <si>
    <t>Por evento</t>
  </si>
  <si>
    <t>safety</t>
  </si>
  <si>
    <t>major_deviations_weekly</t>
  </si>
  <si>
    <t>count</t>
  </si>
  <si>
    <t>qty</t>
  </si>
  <si>
    <t>protocol_deviation_rate</t>
  </si>
  <si>
    <t>major_deviation_rate</t>
  </si>
  <si>
    <t>open_capas</t>
  </si>
  <si>
    <t>CAPAs Abiertas del Área</t>
  </si>
  <si>
    <t>open_action_items</t>
  </si>
  <si>
    <t>monitoring</t>
  </si>
  <si>
    <t>ai_closed_on_time</t>
  </si>
  <si>
    <t>ai_overdue</t>
  </si>
  <si>
    <t>avg_days_ai_closure</t>
  </si>
  <si>
    <t>major_findings_mv_pct</t>
  </si>
  <si>
    <t>Por MV</t>
  </si>
  <si>
    <t>audit_readiness_score</t>
  </si>
  <si>
    <t>days_to_fpfv</t>
  </si>
  <si>
    <t>Por estudio</t>
  </si>
  <si>
    <t>startup</t>
  </si>
  <si>
    <t>fpfv_within_30days_pct</t>
  </si>
  <si>
    <t>Trimestral</t>
  </si>
  <si>
    <t>submissions_no_resubmit</t>
  </si>
  <si>
    <t>ec_approval_cycle_days</t>
  </si>
  <si>
    <t>studies_in_startup</t>
  </si>
  <si>
    <t>N/A</t>
  </si>
  <si>
    <t>info</t>
  </si>
  <si>
    <t>pending_amendments</t>
  </si>
  <si>
    <t>Enmiendas Pendientes Aprobación</t>
  </si>
  <si>
    <t>sponsor_performance_score</t>
  </si>
  <si>
    <t>decimal</t>
  </si>
  <si>
    <t>/5.0</t>
  </si>
  <si>
    <t>sponsor</t>
  </si>
  <si>
    <t>cra_response_48h</t>
  </si>
  <si>
    <t>sponsor_nps</t>
  </si>
  <si>
    <t>/10</t>
  </si>
  <si>
    <t>annual_turnover</t>
  </si>
  <si>
    <t>Anual</t>
  </si>
  <si>
    <t>team</t>
  </si>
  <si>
    <t>satisfactory_performance_pct</t>
  </si>
  <si>
    <t>Semestral</t>
  </si>
  <si>
    <t>gcp_current_pct</t>
  </si>
  <si>
    <t>span_of_control</t>
  </si>
  <si>
    <t>reportes</t>
  </si>
  <si>
    <t>training_completion_pct</t>
  </si>
  <si>
    <t>workload_score</t>
  </si>
  <si>
    <t>range</t>
  </si>
  <si>
    <t>score</t>
  </si>
  <si>
    <t>studies_per_coordinator</t>
  </si>
  <si>
    <t>Estudios Activos por Coordinador</t>
  </si>
  <si>
    <t>efficiency</t>
  </si>
  <si>
    <t>patients_per_coordinator</t>
  </si>
  <si>
    <t>Pacientes Activos por Coordinador</t>
  </si>
  <si>
    <t>contingency_resolution_hours</t>
  </si>
  <si>
    <t>horas</t>
  </si>
  <si>
    <t>mv_siv_participation</t>
  </si>
  <si>
    <t>% Participación en MV/SIV</t>
  </si>
  <si>
    <t>Por visita</t>
  </si>
  <si>
    <t>📖 GUÍA RÁPIDA - DASHBOARD SC LEAD</t>
  </si>
  <si>
    <t>📝 FLUJO DE TRABAJO:</t>
  </si>
  <si>
    <t>1. Registro Semanal</t>
  </si>
  <si>
    <t>Complete métricas de reclutamiento, visitas, seguridad y eficiencia (10-15 min)</t>
  </si>
  <si>
    <t>2. Tracking Action Items</t>
  </si>
  <si>
    <t>Actualice estado de Action Items de monitoring visits</t>
  </si>
  <si>
    <t>3. Contacto Pacientes</t>
  </si>
  <si>
    <t>Registre pacientes derivados y fecha de contacto</t>
  </si>
  <si>
    <t>4. Start-up Tracker</t>
  </si>
  <si>
    <t>Mantenga actualizado el estado de estudios en activación</t>
  </si>
  <si>
    <t>5. Consultas CRA-Sponsor</t>
  </si>
  <si>
    <t>Registre consultas recibidas y tiempos de respuesta</t>
  </si>
  <si>
    <t>6. Gestión Equipo</t>
  </si>
  <si>
    <t>Actualice roster, trainings y movimientos de personal (mensual)</t>
  </si>
  <si>
    <t>7. Evaluación Sponsor</t>
  </si>
  <si>
    <t>Complete evaluaciones trimestrales de sponsors</t>
  </si>
  <si>
    <t>8. Contingencias</t>
  </si>
  <si>
    <t>Registre contingencias operativas y resolución</t>
  </si>
  <si>
    <t>9. Audit Readiness</t>
  </si>
  <si>
    <t>Complete checklist mensual de preparación para auditorías</t>
  </si>
  <si>
    <t>10. Scorecard SC Lead</t>
  </si>
  <si>
    <t>Revise el consolidado automático de todos los KPIs</t>
  </si>
  <si>
    <t>🎯 CONEXIONES ENTRE HOJAS:</t>
  </si>
  <si>
    <t>Registro Semanal →</t>
  </si>
  <si>
    <t>Alimenta 16 KPIs (reclutamiento, visitas, seguridad, eficiencia)</t>
  </si>
  <si>
    <t>Tracking Action Items →</t>
  </si>
  <si>
    <t>Alimenta 5 KPIs de monitoring (SC-019 a SC-023)</t>
  </si>
  <si>
    <t>Contacto Pacientes →</t>
  </si>
  <si>
    <t>Alimenta KPI SC-003 (tiempo derivación→contacto)</t>
  </si>
  <si>
    <t>Start-up Tracker →</t>
  </si>
  <si>
    <t>Alimenta 6 KPIs de start-up (SC-025 a SC-030)</t>
  </si>
  <si>
    <t>Consultas CRA-Sponsor →</t>
  </si>
  <si>
    <t>Alimenta KPI SC-032 (responsiveness)</t>
  </si>
  <si>
    <t>Gestión Equipo →</t>
  </si>
  <si>
    <t>Alimenta 6 KPIs de equipo (SC-034 a SC-039)</t>
  </si>
  <si>
    <t>Evaluación Sponsor →</t>
  </si>
  <si>
    <t>Alimenta KPIs SC-031 y SC-033</t>
  </si>
  <si>
    <t>Contingencias →</t>
  </si>
  <si>
    <t>Alimenta KPI SC-042 (tiempo resolución)</t>
  </si>
  <si>
    <t>Audit Readiness →</t>
  </si>
  <si>
    <t>Alimenta KPI SC-024 (audit readiness score)</t>
  </si>
  <si>
    <t>⚠️ IMPORTANTE:</t>
  </si>
  <si>
    <t>• Solo complete celdas en AZUL</t>
  </si>
  <si>
    <t>Las celdas VERDES son cálculos automáticos</t>
  </si>
  <si>
    <t>• Use validaciones de dropdown</t>
  </si>
  <si>
    <t>Aseguran consistencia de datos</t>
  </si>
  <si>
    <t>• Fechas en formato DD/MM/AAAA</t>
  </si>
  <si>
    <t>Para cálculos correctos de días</t>
  </si>
  <si>
    <t>• Estados válidos:</t>
  </si>
  <si>
    <t>Abierto | En Progreso | Cerrado</t>
  </si>
  <si>
    <t>📊 TOTAL KPIs:</t>
  </si>
  <si>
    <t>39 (excluyendo Data Quality que va a CTMS/QA)</t>
  </si>
  <si>
    <t>📂 CATEGORÍAS:</t>
  </si>
  <si>
    <t>• Reclutamiento:</t>
  </si>
  <si>
    <t>5 KPIs</t>
  </si>
  <si>
    <t>• Ejecución de Visitas:</t>
  </si>
  <si>
    <t>4 KPIs</t>
  </si>
  <si>
    <t>• Seguridad y Compliance:</t>
  </si>
  <si>
    <t>• Monitoring Action Items:</t>
  </si>
  <si>
    <t>6 KPIs</t>
  </si>
  <si>
    <t>• Start-up y Regulatorio:</t>
  </si>
  <si>
    <t>• Satisfacción Sponsors:</t>
  </si>
  <si>
    <t>3 KPIs</t>
  </si>
  <si>
    <t>• Gestión de Equipo:</t>
  </si>
  <si>
    <t>• Eficiencia Operativa: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</si>
</sst>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1F4E79"/>
      <name val="Cambria"/>
      <charset val="1"/>
    </font>
    <font>
      <i/>
      <sz val="9"/>
      <color rgb="FF666666"/>
      <name val="Cambria"/>
      <charset val="1"/>
    </font>
    <font>
      <b/>
      <sz val="12"/>
      <color rgb="FF1F4E79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0" fontId="0" fillId="4" borderId="1" xfId="0" applyFill="1" applyBorder="1"/>
    <xf numFmtId="10" fontId="0" fillId="4" borderId="1" xfId="0" applyNumberForma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10" fontId="0" fillId="0" borderId="1" xfId="0" applyNumberFormat="1" applyBorder="1"/>
    <xf numFmtId="0" fontId="0" fillId="4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Normal="100" workbookViewId="0">
      <selection activeCell="B44" sqref="B44"/>
    </sheetView>
  </sheetViews>
  <sheetFormatPr baseColWidth="10" defaultColWidth="8.68359375" defaultRowHeight="14.4" x14ac:dyDescent="0.55000000000000004"/>
  <cols>
    <col min="1" max="1" width="38" customWidth="1"/>
    <col min="2" max="2" width="12" customWidth="1"/>
    <col min="3" max="3" width="20" customWidth="1"/>
    <col min="4" max="4" width="3" customWidth="1"/>
    <col min="5" max="5" width="10" customWidth="1"/>
    <col min="6" max="6" width="32" customWidth="1"/>
    <col min="7" max="8" width="12" customWidth="1"/>
    <col min="9" max="9" width="8" customWidth="1"/>
  </cols>
  <sheetData>
    <row r="1" spans="1:9" ht="19.8" x14ac:dyDescent="0.65">
      <c r="A1" s="2" t="s">
        <v>0</v>
      </c>
      <c r="B1" s="2"/>
      <c r="C1" s="2"/>
      <c r="D1" s="2"/>
      <c r="E1" s="2"/>
      <c r="F1" s="2"/>
      <c r="G1" s="2"/>
      <c r="H1" s="2"/>
    </row>
    <row r="3" spans="1:9" x14ac:dyDescent="0.55000000000000004">
      <c r="A3" t="s">
        <v>1</v>
      </c>
      <c r="B3" s="3"/>
      <c r="D3" t="s">
        <v>2</v>
      </c>
      <c r="E3" s="3"/>
      <c r="G3" t="s">
        <v>3</v>
      </c>
      <c r="H3" s="3"/>
    </row>
    <row r="4" spans="1:9" x14ac:dyDescent="0.55000000000000004">
      <c r="A4" s="4" t="s">
        <v>4</v>
      </c>
    </row>
    <row r="6" spans="1:9" ht="15.3" x14ac:dyDescent="0.55000000000000004">
      <c r="A6" s="5" t="s">
        <v>5</v>
      </c>
      <c r="E6" s="5" t="s">
        <v>6</v>
      </c>
    </row>
    <row r="7" spans="1:9" x14ac:dyDescent="0.55000000000000004">
      <c r="A7" s="6" t="s">
        <v>7</v>
      </c>
      <c r="B7" s="6" t="s">
        <v>8</v>
      </c>
      <c r="C7" s="6" t="s">
        <v>9</v>
      </c>
      <c r="E7" s="6" t="s">
        <v>10</v>
      </c>
      <c r="F7" s="6" t="s">
        <v>11</v>
      </c>
      <c r="G7" s="6" t="s">
        <v>8</v>
      </c>
      <c r="H7" s="6" t="s">
        <v>12</v>
      </c>
      <c r="I7" s="6" t="s">
        <v>13</v>
      </c>
    </row>
    <row r="8" spans="1:9" x14ac:dyDescent="0.55000000000000004">
      <c r="A8" s="7" t="s">
        <v>14</v>
      </c>
      <c r="B8" s="3"/>
      <c r="C8" s="3"/>
      <c r="E8" s="8" t="s">
        <v>15</v>
      </c>
      <c r="F8" s="8" t="s">
        <v>16</v>
      </c>
      <c r="G8" s="8" t="str">
        <f>IF(B8&gt;0,B10/B8*100,"-")</f>
        <v>-</v>
      </c>
      <c r="H8" s="8" t="s">
        <v>17</v>
      </c>
      <c r="I8" s="8" t="str">
        <f>IF(G8="-","⚪",IF(G8&lt;=15,"✅","❌"))</f>
        <v>⚪</v>
      </c>
    </row>
    <row r="9" spans="1:9" x14ac:dyDescent="0.55000000000000004">
      <c r="A9" s="7" t="s">
        <v>18</v>
      </c>
      <c r="B9" s="3"/>
      <c r="C9" s="3"/>
      <c r="E9" s="8" t="s">
        <v>19</v>
      </c>
      <c r="F9" s="8" t="s">
        <v>20</v>
      </c>
      <c r="G9" s="8" t="str">
        <f>IF(B8&gt;0,B9/B8*100,"-")</f>
        <v>-</v>
      </c>
      <c r="H9" s="8" t="s">
        <v>21</v>
      </c>
      <c r="I9" s="8" t="str">
        <f>IF(G9="-","⚪",IF(G9&gt;=35,"✅","❌"))</f>
        <v>⚪</v>
      </c>
    </row>
    <row r="10" spans="1:9" x14ac:dyDescent="0.55000000000000004">
      <c r="A10" s="7" t="s">
        <v>22</v>
      </c>
      <c r="B10" s="3"/>
      <c r="C10" s="3"/>
      <c r="E10" s="8" t="s">
        <v>23</v>
      </c>
      <c r="F10" s="8" t="s">
        <v>24</v>
      </c>
      <c r="G10" s="8" t="str">
        <f>IF(B11&gt;0,B12/B11*100,"-")</f>
        <v>-</v>
      </c>
      <c r="H10" s="8" t="s">
        <v>25</v>
      </c>
      <c r="I10" s="8" t="str">
        <f>IF(G10="-","⚪",IF(G10&gt;=85,"✅","❌"))</f>
        <v>⚪</v>
      </c>
    </row>
    <row r="11" spans="1:9" x14ac:dyDescent="0.55000000000000004">
      <c r="A11" s="7" t="s">
        <v>26</v>
      </c>
      <c r="B11" s="3"/>
      <c r="C11" s="3"/>
      <c r="E11" s="8" t="s">
        <v>27</v>
      </c>
      <c r="F11" s="8" t="s">
        <v>28</v>
      </c>
      <c r="G11" s="8" t="str">
        <f>IF(B13&gt;0,B14/B13*100,"-")</f>
        <v>-</v>
      </c>
      <c r="H11" s="8" t="s">
        <v>29</v>
      </c>
      <c r="I11" s="8" t="str">
        <f>IF(G11="-","⚪",IF(G11&gt;=90,"✅","❌"))</f>
        <v>⚪</v>
      </c>
    </row>
    <row r="12" spans="1:9" x14ac:dyDescent="0.55000000000000004">
      <c r="A12" s="7" t="s">
        <v>30</v>
      </c>
      <c r="B12" s="3"/>
      <c r="C12" s="3"/>
    </row>
    <row r="13" spans="1:9" x14ac:dyDescent="0.55000000000000004">
      <c r="A13" s="7" t="s">
        <v>31</v>
      </c>
      <c r="B13" s="3"/>
      <c r="C13" s="3"/>
    </row>
    <row r="14" spans="1:9" x14ac:dyDescent="0.55000000000000004">
      <c r="A14" s="7" t="s">
        <v>32</v>
      </c>
      <c r="B14" s="3"/>
      <c r="C14" s="3"/>
    </row>
    <row r="17" spans="1:9" ht="15.3" x14ac:dyDescent="0.55000000000000004">
      <c r="A17" s="5" t="s">
        <v>33</v>
      </c>
      <c r="E17" s="5" t="s">
        <v>6</v>
      </c>
    </row>
    <row r="18" spans="1:9" x14ac:dyDescent="0.55000000000000004">
      <c r="A18" s="6" t="s">
        <v>7</v>
      </c>
      <c r="B18" s="6" t="s">
        <v>8</v>
      </c>
      <c r="C18" s="6" t="s">
        <v>9</v>
      </c>
      <c r="E18" s="6" t="s">
        <v>10</v>
      </c>
      <c r="F18" s="6" t="s">
        <v>11</v>
      </c>
      <c r="G18" s="6" t="s">
        <v>8</v>
      </c>
      <c r="H18" s="6" t="s">
        <v>12</v>
      </c>
      <c r="I18" s="6" t="s">
        <v>13</v>
      </c>
    </row>
    <row r="19" spans="1:9" x14ac:dyDescent="0.55000000000000004">
      <c r="A19" s="7" t="s">
        <v>34</v>
      </c>
      <c r="B19" s="3"/>
      <c r="C19" s="3"/>
      <c r="E19" s="8" t="s">
        <v>35</v>
      </c>
      <c r="F19" s="8" t="s">
        <v>36</v>
      </c>
      <c r="G19" s="8" t="str">
        <f>IF(B19&gt;0,B20/B19*100,"-")</f>
        <v>-</v>
      </c>
      <c r="H19" s="8" t="s">
        <v>29</v>
      </c>
      <c r="I19" s="8" t="str">
        <f>IF(G19="-","⚪",IF(G19&gt;=90,"✅","❌"))</f>
        <v>⚪</v>
      </c>
    </row>
    <row r="20" spans="1:9" x14ac:dyDescent="0.55000000000000004">
      <c r="A20" s="7" t="s">
        <v>37</v>
      </c>
      <c r="B20" s="3"/>
      <c r="C20" s="3"/>
      <c r="E20" s="8" t="s">
        <v>38</v>
      </c>
      <c r="F20" s="8" t="s">
        <v>39</v>
      </c>
      <c r="G20" s="8" t="str">
        <f>IF(B20&gt;0,B21/B20*100,"-")</f>
        <v>-</v>
      </c>
      <c r="H20" s="8" t="s">
        <v>29</v>
      </c>
      <c r="I20" s="8" t="str">
        <f>IF(G20="-","⚪",IF(G20&gt;=90,"✅","❌"))</f>
        <v>⚪</v>
      </c>
    </row>
    <row r="21" spans="1:9" x14ac:dyDescent="0.55000000000000004">
      <c r="A21" s="7" t="s">
        <v>40</v>
      </c>
      <c r="B21" s="3"/>
      <c r="C21" s="3"/>
      <c r="E21" s="8" t="s">
        <v>41</v>
      </c>
      <c r="F21" s="8" t="s">
        <v>42</v>
      </c>
      <c r="G21" s="8" t="str">
        <f>IF(B20&gt;0,B22/B20*100,"-")</f>
        <v>-</v>
      </c>
      <c r="H21" s="8" t="s">
        <v>43</v>
      </c>
      <c r="I21" s="8" t="str">
        <f>IF(G21="-","⚪",IF(G21&gt;=95,"✅","❌"))</f>
        <v>⚪</v>
      </c>
    </row>
    <row r="22" spans="1:9" x14ac:dyDescent="0.55000000000000004">
      <c r="A22" s="7" t="s">
        <v>44</v>
      </c>
      <c r="B22" s="3"/>
      <c r="C22" s="3"/>
      <c r="E22" s="8" t="s">
        <v>45</v>
      </c>
      <c r="F22" s="8" t="s">
        <v>46</v>
      </c>
      <c r="G22" s="8" t="str">
        <f>IF(B23&gt;0,(B23-B24)/B23*100,"-")</f>
        <v>-</v>
      </c>
      <c r="H22" s="8" t="s">
        <v>29</v>
      </c>
      <c r="I22" s="8" t="str">
        <f>IF(G22="-","⚪",IF(G22&gt;=90,"✅","❌"))</f>
        <v>⚪</v>
      </c>
    </row>
    <row r="23" spans="1:9" x14ac:dyDescent="0.55000000000000004">
      <c r="A23" s="7" t="s">
        <v>47</v>
      </c>
      <c r="B23" s="3"/>
      <c r="C23" s="3"/>
    </row>
    <row r="24" spans="1:9" x14ac:dyDescent="0.55000000000000004">
      <c r="A24" s="7" t="s">
        <v>48</v>
      </c>
      <c r="B24" s="3"/>
      <c r="C24" s="3"/>
    </row>
    <row r="27" spans="1:9" ht="15.3" x14ac:dyDescent="0.55000000000000004">
      <c r="A27" s="5" t="s">
        <v>49</v>
      </c>
      <c r="E27" s="5" t="s">
        <v>6</v>
      </c>
    </row>
    <row r="28" spans="1:9" x14ac:dyDescent="0.55000000000000004">
      <c r="A28" s="6" t="s">
        <v>7</v>
      </c>
      <c r="B28" s="6" t="s">
        <v>8</v>
      </c>
      <c r="C28" s="6" t="s">
        <v>9</v>
      </c>
      <c r="E28" s="6" t="s">
        <v>10</v>
      </c>
      <c r="F28" s="6" t="s">
        <v>11</v>
      </c>
      <c r="G28" s="6" t="s">
        <v>8</v>
      </c>
      <c r="H28" s="6" t="s">
        <v>12</v>
      </c>
      <c r="I28" s="6" t="s">
        <v>13</v>
      </c>
    </row>
    <row r="29" spans="1:9" x14ac:dyDescent="0.55000000000000004">
      <c r="A29" s="7" t="s">
        <v>50</v>
      </c>
      <c r="B29" s="3"/>
      <c r="C29" s="3"/>
      <c r="E29" s="8" t="s">
        <v>51</v>
      </c>
      <c r="F29" s="8" t="s">
        <v>52</v>
      </c>
      <c r="G29" s="8" t="str">
        <f>IF(B29&gt;0,B30/B29*100,"-")</f>
        <v>-</v>
      </c>
      <c r="H29" s="9">
        <f>100%</f>
        <v>1</v>
      </c>
      <c r="I29" s="8" t="str">
        <f>IF(G29="-","⚪",IF(G29=100,"✅","❌"))</f>
        <v>⚪</v>
      </c>
    </row>
    <row r="30" spans="1:9" x14ac:dyDescent="0.55000000000000004">
      <c r="A30" s="7" t="s">
        <v>53</v>
      </c>
      <c r="B30" s="3"/>
      <c r="C30" s="3"/>
      <c r="E30" s="8" t="s">
        <v>54</v>
      </c>
      <c r="F30" s="8" t="s">
        <v>55</v>
      </c>
      <c r="G30" s="8">
        <f>B31</f>
        <v>0</v>
      </c>
      <c r="H30" s="8" t="s">
        <v>56</v>
      </c>
      <c r="I30" s="8" t="str">
        <f>IF(G30="-","⚪",IF(G30&lt;=2,"✅","❌"))</f>
        <v>✅</v>
      </c>
    </row>
    <row r="31" spans="1:9" x14ac:dyDescent="0.55000000000000004">
      <c r="A31" s="7" t="s">
        <v>57</v>
      </c>
      <c r="B31" s="3"/>
      <c r="C31" s="3"/>
      <c r="E31" s="8" t="s">
        <v>58</v>
      </c>
      <c r="F31" s="8" t="s">
        <v>59</v>
      </c>
      <c r="G31" s="8" t="str">
        <f>IF(B33&gt;0,B32/B33*100,"-")</f>
        <v>-</v>
      </c>
      <c r="H31" s="8" t="s">
        <v>60</v>
      </c>
      <c r="I31" s="8" t="str">
        <f>IF(G31="-","⚪",IF(G31&lt;=3,"✅","❌"))</f>
        <v>⚪</v>
      </c>
    </row>
    <row r="32" spans="1:9" x14ac:dyDescent="0.55000000000000004">
      <c r="A32" s="7" t="s">
        <v>61</v>
      </c>
      <c r="B32" s="3"/>
      <c r="C32" s="3"/>
      <c r="E32" s="8" t="s">
        <v>62</v>
      </c>
      <c r="F32" s="8" t="s">
        <v>63</v>
      </c>
      <c r="G32" s="8" t="str">
        <f>IF(B33&gt;0,B34/B33*100,"-")</f>
        <v>-</v>
      </c>
      <c r="H32" s="8" t="s">
        <v>64</v>
      </c>
      <c r="I32" s="8" t="str">
        <f>IF(G32="-","⚪",IF(G32&lt;=1,"✅","❌"))</f>
        <v>⚪</v>
      </c>
    </row>
    <row r="33" spans="1:9" x14ac:dyDescent="0.55000000000000004">
      <c r="A33" s="7" t="s">
        <v>65</v>
      </c>
      <c r="B33" s="3"/>
      <c r="C33" s="3"/>
      <c r="E33" s="8" t="s">
        <v>66</v>
      </c>
      <c r="F33" s="8" t="s">
        <v>67</v>
      </c>
      <c r="G33" s="8">
        <f>B35</f>
        <v>0</v>
      </c>
      <c r="H33" s="8" t="s">
        <v>68</v>
      </c>
      <c r="I33" s="8" t="str">
        <f>IF(G33="-","⚪",IF(G33&lt;=3,"✅","❌"))</f>
        <v>✅</v>
      </c>
    </row>
    <row r="34" spans="1:9" x14ac:dyDescent="0.55000000000000004">
      <c r="A34" s="7" t="s">
        <v>69</v>
      </c>
      <c r="B34" s="3"/>
      <c r="C34" s="3"/>
    </row>
    <row r="35" spans="1:9" x14ac:dyDescent="0.55000000000000004">
      <c r="A35" s="7" t="s">
        <v>70</v>
      </c>
      <c r="B35" s="3"/>
      <c r="C35" s="3"/>
    </row>
    <row r="38" spans="1:9" ht="15.3" x14ac:dyDescent="0.55000000000000004">
      <c r="A38" s="5" t="s">
        <v>71</v>
      </c>
      <c r="E38" s="5" t="s">
        <v>6</v>
      </c>
    </row>
    <row r="39" spans="1:9" x14ac:dyDescent="0.55000000000000004">
      <c r="A39" s="6" t="s">
        <v>7</v>
      </c>
      <c r="B39" s="6" t="s">
        <v>8</v>
      </c>
      <c r="C39" s="6" t="s">
        <v>9</v>
      </c>
      <c r="E39" s="6" t="s">
        <v>10</v>
      </c>
      <c r="F39" s="6" t="s">
        <v>11</v>
      </c>
      <c r="G39" s="6" t="s">
        <v>8</v>
      </c>
      <c r="H39" s="6" t="s">
        <v>12</v>
      </c>
      <c r="I39" s="6" t="s">
        <v>13</v>
      </c>
    </row>
    <row r="40" spans="1:9" x14ac:dyDescent="0.55000000000000004">
      <c r="A40" s="7" t="s">
        <v>72</v>
      </c>
      <c r="B40" s="3"/>
      <c r="C40" s="3"/>
      <c r="E40" s="8" t="s">
        <v>73</v>
      </c>
      <c r="F40" s="8" t="s">
        <v>74</v>
      </c>
      <c r="G40" s="8" t="str">
        <f>IF(B40&gt;0,B41/B40,"-")</f>
        <v>-</v>
      </c>
      <c r="H40" s="8" t="s">
        <v>75</v>
      </c>
      <c r="I40" s="8" t="str">
        <f>IF(G40="-","⚪",IF(AND(G40&gt;=3,G40&lt;=5),"✅","⚠️"))</f>
        <v>⚪</v>
      </c>
    </row>
    <row r="41" spans="1:9" x14ac:dyDescent="0.55000000000000004">
      <c r="A41" s="7" t="s">
        <v>76</v>
      </c>
      <c r="B41" s="3"/>
      <c r="C41" s="3"/>
      <c r="E41" s="8" t="s">
        <v>77</v>
      </c>
      <c r="F41" s="8" t="s">
        <v>78</v>
      </c>
      <c r="G41" s="8" t="str">
        <f>IF(B40&gt;0,B42/B40,"-")</f>
        <v>-</v>
      </c>
      <c r="H41" s="8" t="s">
        <v>79</v>
      </c>
      <c r="I41" s="8" t="str">
        <f>IF(G41="-","⚪",IF(AND(G41&gt;=15,G41&lt;=25),"✅","⚠️"))</f>
        <v>⚪</v>
      </c>
    </row>
    <row r="42" spans="1:9" x14ac:dyDescent="0.55000000000000004">
      <c r="A42" s="7" t="s">
        <v>80</v>
      </c>
      <c r="B42" s="3"/>
      <c r="C42" s="3"/>
      <c r="E42" s="8" t="s">
        <v>81</v>
      </c>
      <c r="F42" s="8" t="s">
        <v>82</v>
      </c>
      <c r="G42" s="8" t="str">
        <f>IF(B43&gt;0,B44/B43*100,"-")</f>
        <v>-</v>
      </c>
      <c r="H42" s="9">
        <f>100%</f>
        <v>1</v>
      </c>
      <c r="I42" s="8" t="str">
        <f>IF(G42="-","⚪",IF(G42=100,"✅","❌"))</f>
        <v>⚪</v>
      </c>
    </row>
    <row r="43" spans="1:9" x14ac:dyDescent="0.55000000000000004">
      <c r="A43" s="7" t="s">
        <v>83</v>
      </c>
      <c r="B43" s="3"/>
      <c r="C43" s="3"/>
    </row>
    <row r="44" spans="1:9" x14ac:dyDescent="0.55000000000000004">
      <c r="A44" s="7" t="s">
        <v>84</v>
      </c>
      <c r="B44" s="3"/>
      <c r="C44" s="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opLeftCell="A3" zoomScaleNormal="100" workbookViewId="0">
      <selection sqref="A1:L1"/>
    </sheetView>
  </sheetViews>
  <sheetFormatPr baseColWidth="10" defaultColWidth="8.68359375" defaultRowHeight="14.4" x14ac:dyDescent="0.55000000000000004"/>
  <cols>
    <col min="1" max="1" width="10" customWidth="1"/>
    <col min="2" max="2" width="15" customWidth="1"/>
    <col min="3" max="3" width="12" customWidth="1"/>
    <col min="4" max="4" width="40" customWidth="1"/>
    <col min="5" max="5" width="15" customWidth="1"/>
    <col min="6" max="6" width="12" customWidth="1"/>
    <col min="7" max="7" width="15" customWidth="1"/>
    <col min="8" max="12" width="12" customWidth="1"/>
  </cols>
  <sheetData>
    <row r="1" spans="1:12" ht="19.8" x14ac:dyDescent="0.65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55000000000000004">
      <c r="A2" s="4" t="s">
        <v>86</v>
      </c>
    </row>
    <row r="4" spans="1:12" x14ac:dyDescent="0.55000000000000004">
      <c r="A4" s="10" t="s">
        <v>10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  <c r="I4" s="10" t="s">
        <v>94</v>
      </c>
      <c r="J4" s="10" t="s">
        <v>13</v>
      </c>
      <c r="K4" s="10" t="s">
        <v>95</v>
      </c>
      <c r="L4" s="10" t="s">
        <v>96</v>
      </c>
    </row>
    <row r="5" spans="1:12" x14ac:dyDescent="0.55000000000000004">
      <c r="A5" s="7" t="s">
        <v>97</v>
      </c>
      <c r="B5" s="3"/>
      <c r="C5" s="3"/>
      <c r="D5" s="3"/>
      <c r="E5" s="3"/>
      <c r="F5" s="3"/>
      <c r="G5" s="3"/>
      <c r="H5" s="3"/>
      <c r="I5" s="3"/>
      <c r="J5" s="3"/>
      <c r="K5" s="8" t="str">
        <f t="shared" ref="K5:K44" ca="1" si="0">IF(J5="Cerrado",I5-C5,IF(C5="","",TODAY()-C5))</f>
        <v/>
      </c>
      <c r="L5" s="8" t="str">
        <f t="shared" ref="L5:L44" ca="1" si="1">IF(J5="","",IF(J5="Cerrado",IF(I5&lt;=H5,"Sí","No"),IF(TODAY()&lt;=H5,"En tiempo","Vencido")))</f>
        <v/>
      </c>
    </row>
    <row r="6" spans="1:12" x14ac:dyDescent="0.55000000000000004">
      <c r="A6" s="7" t="s">
        <v>98</v>
      </c>
      <c r="B6" s="3"/>
      <c r="C6" s="3"/>
      <c r="D6" s="3"/>
      <c r="E6" s="3"/>
      <c r="F6" s="3"/>
      <c r="G6" s="3"/>
      <c r="H6" s="3"/>
      <c r="I6" s="3"/>
      <c r="J6" s="3"/>
      <c r="K6" s="8" t="str">
        <f t="shared" ca="1" si="0"/>
        <v/>
      </c>
      <c r="L6" s="8" t="str">
        <f t="shared" ca="1" si="1"/>
        <v/>
      </c>
    </row>
    <row r="7" spans="1:12" x14ac:dyDescent="0.55000000000000004">
      <c r="A7" s="7" t="s">
        <v>99</v>
      </c>
      <c r="B7" s="3"/>
      <c r="C7" s="3"/>
      <c r="D7" s="3"/>
      <c r="E7" s="3"/>
      <c r="F7" s="3"/>
      <c r="G7" s="3"/>
      <c r="H7" s="3"/>
      <c r="I7" s="3"/>
      <c r="J7" s="3"/>
      <c r="K7" s="8" t="str">
        <f t="shared" ca="1" si="0"/>
        <v/>
      </c>
      <c r="L7" s="8" t="str">
        <f t="shared" ca="1" si="1"/>
        <v/>
      </c>
    </row>
    <row r="8" spans="1:12" x14ac:dyDescent="0.55000000000000004">
      <c r="A8" s="7" t="s">
        <v>100</v>
      </c>
      <c r="B8" s="3"/>
      <c r="C8" s="3"/>
      <c r="D8" s="3"/>
      <c r="E8" s="3"/>
      <c r="F8" s="3"/>
      <c r="G8" s="3"/>
      <c r="H8" s="3"/>
      <c r="I8" s="3"/>
      <c r="J8" s="3"/>
      <c r="K8" s="8" t="str">
        <f t="shared" ca="1" si="0"/>
        <v/>
      </c>
      <c r="L8" s="8" t="str">
        <f t="shared" ca="1" si="1"/>
        <v/>
      </c>
    </row>
    <row r="9" spans="1:12" x14ac:dyDescent="0.55000000000000004">
      <c r="A9" s="7" t="s">
        <v>101</v>
      </c>
      <c r="B9" s="3"/>
      <c r="C9" s="3"/>
      <c r="D9" s="3"/>
      <c r="E9" s="3"/>
      <c r="F9" s="3"/>
      <c r="G9" s="3"/>
      <c r="H9" s="3"/>
      <c r="I9" s="3"/>
      <c r="J9" s="3"/>
      <c r="K9" s="8" t="str">
        <f t="shared" ca="1" si="0"/>
        <v/>
      </c>
      <c r="L9" s="8" t="str">
        <f t="shared" ca="1" si="1"/>
        <v/>
      </c>
    </row>
    <row r="10" spans="1:12" x14ac:dyDescent="0.55000000000000004">
      <c r="A10" s="7" t="s">
        <v>102</v>
      </c>
      <c r="B10" s="3"/>
      <c r="C10" s="3"/>
      <c r="D10" s="3"/>
      <c r="E10" s="3"/>
      <c r="F10" s="3"/>
      <c r="G10" s="3"/>
      <c r="H10" s="3"/>
      <c r="I10" s="3"/>
      <c r="J10" s="3"/>
      <c r="K10" s="8" t="str">
        <f t="shared" ca="1" si="0"/>
        <v/>
      </c>
      <c r="L10" s="8" t="str">
        <f t="shared" ca="1" si="1"/>
        <v/>
      </c>
    </row>
    <row r="11" spans="1:12" x14ac:dyDescent="0.55000000000000004">
      <c r="A11" s="7" t="s">
        <v>103</v>
      </c>
      <c r="B11" s="3"/>
      <c r="C11" s="3"/>
      <c r="D11" s="3"/>
      <c r="E11" s="3"/>
      <c r="F11" s="3"/>
      <c r="G11" s="3"/>
      <c r="H11" s="3"/>
      <c r="I11" s="3"/>
      <c r="J11" s="3"/>
      <c r="K11" s="8" t="str">
        <f t="shared" ca="1" si="0"/>
        <v/>
      </c>
      <c r="L11" s="8" t="str">
        <f t="shared" ca="1" si="1"/>
        <v/>
      </c>
    </row>
    <row r="12" spans="1:12" x14ac:dyDescent="0.55000000000000004">
      <c r="A12" s="7" t="s">
        <v>104</v>
      </c>
      <c r="B12" s="3"/>
      <c r="C12" s="3"/>
      <c r="D12" s="3"/>
      <c r="E12" s="3"/>
      <c r="F12" s="3"/>
      <c r="G12" s="3"/>
      <c r="H12" s="3"/>
      <c r="I12" s="3"/>
      <c r="J12" s="3"/>
      <c r="K12" s="8" t="str">
        <f t="shared" ca="1" si="0"/>
        <v/>
      </c>
      <c r="L12" s="8" t="str">
        <f t="shared" ca="1" si="1"/>
        <v/>
      </c>
    </row>
    <row r="13" spans="1:12" x14ac:dyDescent="0.55000000000000004">
      <c r="A13" s="7" t="s">
        <v>105</v>
      </c>
      <c r="B13" s="3"/>
      <c r="C13" s="3"/>
      <c r="D13" s="3"/>
      <c r="E13" s="3"/>
      <c r="F13" s="3"/>
      <c r="G13" s="3"/>
      <c r="H13" s="3"/>
      <c r="I13" s="3"/>
      <c r="J13" s="3"/>
      <c r="K13" s="8" t="str">
        <f t="shared" ca="1" si="0"/>
        <v/>
      </c>
      <c r="L13" s="8" t="str">
        <f t="shared" ca="1" si="1"/>
        <v/>
      </c>
    </row>
    <row r="14" spans="1:12" x14ac:dyDescent="0.55000000000000004">
      <c r="A14" s="7" t="s">
        <v>106</v>
      </c>
      <c r="B14" s="3"/>
      <c r="C14" s="3"/>
      <c r="D14" s="3"/>
      <c r="E14" s="3"/>
      <c r="F14" s="3"/>
      <c r="G14" s="3"/>
      <c r="H14" s="3"/>
      <c r="I14" s="3"/>
      <c r="J14" s="3"/>
      <c r="K14" s="8" t="str">
        <f t="shared" ca="1" si="0"/>
        <v/>
      </c>
      <c r="L14" s="8" t="str">
        <f t="shared" ca="1" si="1"/>
        <v/>
      </c>
    </row>
    <row r="15" spans="1:12" x14ac:dyDescent="0.55000000000000004">
      <c r="A15" s="7" t="s">
        <v>107</v>
      </c>
      <c r="B15" s="3"/>
      <c r="C15" s="3"/>
      <c r="D15" s="3"/>
      <c r="E15" s="3"/>
      <c r="F15" s="3"/>
      <c r="G15" s="3"/>
      <c r="H15" s="3"/>
      <c r="I15" s="3"/>
      <c r="J15" s="3"/>
      <c r="K15" s="8" t="str">
        <f t="shared" ca="1" si="0"/>
        <v/>
      </c>
      <c r="L15" s="8" t="str">
        <f t="shared" ca="1" si="1"/>
        <v/>
      </c>
    </row>
    <row r="16" spans="1:12" x14ac:dyDescent="0.55000000000000004">
      <c r="A16" s="7" t="s">
        <v>108</v>
      </c>
      <c r="B16" s="3"/>
      <c r="C16" s="3"/>
      <c r="D16" s="3"/>
      <c r="E16" s="3"/>
      <c r="F16" s="3"/>
      <c r="G16" s="3"/>
      <c r="H16" s="3"/>
      <c r="I16" s="3"/>
      <c r="J16" s="3"/>
      <c r="K16" s="8" t="str">
        <f t="shared" ca="1" si="0"/>
        <v/>
      </c>
      <c r="L16" s="8" t="str">
        <f t="shared" ca="1" si="1"/>
        <v/>
      </c>
    </row>
    <row r="17" spans="1:12" x14ac:dyDescent="0.55000000000000004">
      <c r="A17" s="7" t="s">
        <v>109</v>
      </c>
      <c r="B17" s="3"/>
      <c r="C17" s="3"/>
      <c r="D17" s="3"/>
      <c r="E17" s="3"/>
      <c r="F17" s="3"/>
      <c r="G17" s="3"/>
      <c r="H17" s="3"/>
      <c r="I17" s="3"/>
      <c r="J17" s="3"/>
      <c r="K17" s="8" t="str">
        <f t="shared" ca="1" si="0"/>
        <v/>
      </c>
      <c r="L17" s="8" t="str">
        <f t="shared" ca="1" si="1"/>
        <v/>
      </c>
    </row>
    <row r="18" spans="1:12" x14ac:dyDescent="0.55000000000000004">
      <c r="A18" s="7" t="s">
        <v>110</v>
      </c>
      <c r="B18" s="3"/>
      <c r="C18" s="3"/>
      <c r="D18" s="3"/>
      <c r="E18" s="3"/>
      <c r="F18" s="3"/>
      <c r="G18" s="3"/>
      <c r="H18" s="3"/>
      <c r="I18" s="3"/>
      <c r="J18" s="3"/>
      <c r="K18" s="8" t="str">
        <f t="shared" ca="1" si="0"/>
        <v/>
      </c>
      <c r="L18" s="8" t="str">
        <f t="shared" ca="1" si="1"/>
        <v/>
      </c>
    </row>
    <row r="19" spans="1:12" x14ac:dyDescent="0.55000000000000004">
      <c r="A19" s="7" t="s">
        <v>111</v>
      </c>
      <c r="B19" s="3"/>
      <c r="C19" s="3"/>
      <c r="D19" s="3"/>
      <c r="E19" s="3"/>
      <c r="F19" s="3"/>
      <c r="G19" s="3"/>
      <c r="H19" s="3"/>
      <c r="I19" s="3"/>
      <c r="J19" s="3"/>
      <c r="K19" s="8" t="str">
        <f t="shared" ca="1" si="0"/>
        <v/>
      </c>
      <c r="L19" s="8" t="str">
        <f t="shared" ca="1" si="1"/>
        <v/>
      </c>
    </row>
    <row r="20" spans="1:12" x14ac:dyDescent="0.55000000000000004">
      <c r="A20" s="7" t="s">
        <v>112</v>
      </c>
      <c r="B20" s="3"/>
      <c r="C20" s="3"/>
      <c r="D20" s="3"/>
      <c r="E20" s="3"/>
      <c r="F20" s="3"/>
      <c r="G20" s="3"/>
      <c r="H20" s="3"/>
      <c r="I20" s="3"/>
      <c r="J20" s="3"/>
      <c r="K20" s="8" t="str">
        <f t="shared" ca="1" si="0"/>
        <v/>
      </c>
      <c r="L20" s="8" t="str">
        <f t="shared" ca="1" si="1"/>
        <v/>
      </c>
    </row>
    <row r="21" spans="1:12" x14ac:dyDescent="0.55000000000000004">
      <c r="A21" s="7" t="s">
        <v>113</v>
      </c>
      <c r="B21" s="3"/>
      <c r="C21" s="3"/>
      <c r="D21" s="3"/>
      <c r="E21" s="3"/>
      <c r="F21" s="3"/>
      <c r="G21" s="3"/>
      <c r="H21" s="3"/>
      <c r="I21" s="3"/>
      <c r="J21" s="3"/>
      <c r="K21" s="8" t="str">
        <f t="shared" ca="1" si="0"/>
        <v/>
      </c>
      <c r="L21" s="8" t="str">
        <f t="shared" ca="1" si="1"/>
        <v/>
      </c>
    </row>
    <row r="22" spans="1:12" x14ac:dyDescent="0.55000000000000004">
      <c r="A22" s="7" t="s">
        <v>114</v>
      </c>
      <c r="B22" s="3"/>
      <c r="C22" s="3"/>
      <c r="D22" s="3"/>
      <c r="E22" s="3"/>
      <c r="F22" s="3"/>
      <c r="G22" s="3"/>
      <c r="H22" s="3"/>
      <c r="I22" s="3"/>
      <c r="J22" s="3"/>
      <c r="K22" s="8" t="str">
        <f t="shared" ca="1" si="0"/>
        <v/>
      </c>
      <c r="L22" s="8" t="str">
        <f t="shared" ca="1" si="1"/>
        <v/>
      </c>
    </row>
    <row r="23" spans="1:12" x14ac:dyDescent="0.55000000000000004">
      <c r="A23" s="7" t="s">
        <v>115</v>
      </c>
      <c r="B23" s="3"/>
      <c r="C23" s="3"/>
      <c r="D23" s="3"/>
      <c r="E23" s="3"/>
      <c r="F23" s="3"/>
      <c r="G23" s="3"/>
      <c r="H23" s="3"/>
      <c r="I23" s="3"/>
      <c r="J23" s="3"/>
      <c r="K23" s="8" t="str">
        <f t="shared" ca="1" si="0"/>
        <v/>
      </c>
      <c r="L23" s="8" t="str">
        <f t="shared" ca="1" si="1"/>
        <v/>
      </c>
    </row>
    <row r="24" spans="1:12" x14ac:dyDescent="0.55000000000000004">
      <c r="A24" s="7" t="s">
        <v>116</v>
      </c>
      <c r="B24" s="3"/>
      <c r="C24" s="3"/>
      <c r="D24" s="3"/>
      <c r="E24" s="3"/>
      <c r="F24" s="3"/>
      <c r="G24" s="3"/>
      <c r="H24" s="3"/>
      <c r="I24" s="3"/>
      <c r="J24" s="3"/>
      <c r="K24" s="8" t="str">
        <f t="shared" ca="1" si="0"/>
        <v/>
      </c>
      <c r="L24" s="8" t="str">
        <f t="shared" ca="1" si="1"/>
        <v/>
      </c>
    </row>
    <row r="25" spans="1:12" x14ac:dyDescent="0.55000000000000004">
      <c r="A25" s="7" t="s">
        <v>117</v>
      </c>
      <c r="B25" s="3"/>
      <c r="C25" s="3"/>
      <c r="D25" s="3"/>
      <c r="E25" s="3"/>
      <c r="F25" s="3"/>
      <c r="G25" s="3"/>
      <c r="H25" s="3"/>
      <c r="I25" s="3"/>
      <c r="J25" s="3"/>
      <c r="K25" s="8" t="str">
        <f t="shared" ca="1" si="0"/>
        <v/>
      </c>
      <c r="L25" s="8" t="str">
        <f t="shared" ca="1" si="1"/>
        <v/>
      </c>
    </row>
    <row r="26" spans="1:12" x14ac:dyDescent="0.55000000000000004">
      <c r="A26" s="7" t="s">
        <v>118</v>
      </c>
      <c r="B26" s="3"/>
      <c r="C26" s="3"/>
      <c r="D26" s="3"/>
      <c r="E26" s="3"/>
      <c r="F26" s="3"/>
      <c r="G26" s="3"/>
      <c r="H26" s="3"/>
      <c r="I26" s="3"/>
      <c r="J26" s="3"/>
      <c r="K26" s="8" t="str">
        <f t="shared" ca="1" si="0"/>
        <v/>
      </c>
      <c r="L26" s="8" t="str">
        <f t="shared" ca="1" si="1"/>
        <v/>
      </c>
    </row>
    <row r="27" spans="1:12" x14ac:dyDescent="0.55000000000000004">
      <c r="A27" s="7" t="s">
        <v>119</v>
      </c>
      <c r="B27" s="3"/>
      <c r="C27" s="3"/>
      <c r="D27" s="3"/>
      <c r="E27" s="3"/>
      <c r="F27" s="3"/>
      <c r="G27" s="3"/>
      <c r="H27" s="3"/>
      <c r="I27" s="3"/>
      <c r="J27" s="3"/>
      <c r="K27" s="8" t="str">
        <f t="shared" ca="1" si="0"/>
        <v/>
      </c>
      <c r="L27" s="8" t="str">
        <f t="shared" ca="1" si="1"/>
        <v/>
      </c>
    </row>
    <row r="28" spans="1:12" x14ac:dyDescent="0.55000000000000004">
      <c r="A28" s="7" t="s">
        <v>120</v>
      </c>
      <c r="B28" s="3"/>
      <c r="C28" s="3"/>
      <c r="D28" s="3"/>
      <c r="E28" s="3"/>
      <c r="F28" s="3"/>
      <c r="G28" s="3"/>
      <c r="H28" s="3"/>
      <c r="I28" s="3"/>
      <c r="J28" s="3"/>
      <c r="K28" s="8" t="str">
        <f t="shared" ca="1" si="0"/>
        <v/>
      </c>
      <c r="L28" s="8" t="str">
        <f t="shared" ca="1" si="1"/>
        <v/>
      </c>
    </row>
    <row r="29" spans="1:12" x14ac:dyDescent="0.55000000000000004">
      <c r="A29" s="7" t="s">
        <v>121</v>
      </c>
      <c r="B29" s="3"/>
      <c r="C29" s="3"/>
      <c r="D29" s="3"/>
      <c r="E29" s="3"/>
      <c r="F29" s="3"/>
      <c r="G29" s="3"/>
      <c r="H29" s="3"/>
      <c r="I29" s="3"/>
      <c r="J29" s="3"/>
      <c r="K29" s="8" t="str">
        <f t="shared" ca="1" si="0"/>
        <v/>
      </c>
      <c r="L29" s="8" t="str">
        <f t="shared" ca="1" si="1"/>
        <v/>
      </c>
    </row>
    <row r="30" spans="1:12" x14ac:dyDescent="0.55000000000000004">
      <c r="A30" s="7" t="s">
        <v>122</v>
      </c>
      <c r="B30" s="3"/>
      <c r="C30" s="3"/>
      <c r="D30" s="3"/>
      <c r="E30" s="3"/>
      <c r="F30" s="3"/>
      <c r="G30" s="3"/>
      <c r="H30" s="3"/>
      <c r="I30" s="3"/>
      <c r="J30" s="3"/>
      <c r="K30" s="8" t="str">
        <f t="shared" ca="1" si="0"/>
        <v/>
      </c>
      <c r="L30" s="8" t="str">
        <f t="shared" ca="1" si="1"/>
        <v/>
      </c>
    </row>
    <row r="31" spans="1:12" x14ac:dyDescent="0.55000000000000004">
      <c r="A31" s="7" t="s">
        <v>123</v>
      </c>
      <c r="B31" s="3"/>
      <c r="C31" s="3"/>
      <c r="D31" s="3"/>
      <c r="E31" s="3"/>
      <c r="F31" s="3"/>
      <c r="G31" s="3"/>
      <c r="H31" s="3"/>
      <c r="I31" s="3"/>
      <c r="J31" s="3"/>
      <c r="K31" s="8" t="str">
        <f t="shared" ca="1" si="0"/>
        <v/>
      </c>
      <c r="L31" s="8" t="str">
        <f t="shared" ca="1" si="1"/>
        <v/>
      </c>
    </row>
    <row r="32" spans="1:12" x14ac:dyDescent="0.55000000000000004">
      <c r="A32" s="7" t="s">
        <v>124</v>
      </c>
      <c r="B32" s="3"/>
      <c r="C32" s="3"/>
      <c r="D32" s="3"/>
      <c r="E32" s="3"/>
      <c r="F32" s="3"/>
      <c r="G32" s="3"/>
      <c r="H32" s="3"/>
      <c r="I32" s="3"/>
      <c r="J32" s="3"/>
      <c r="K32" s="8" t="str">
        <f t="shared" ca="1" si="0"/>
        <v/>
      </c>
      <c r="L32" s="8" t="str">
        <f t="shared" ca="1" si="1"/>
        <v/>
      </c>
    </row>
    <row r="33" spans="1:12" x14ac:dyDescent="0.55000000000000004">
      <c r="A33" s="7" t="s">
        <v>125</v>
      </c>
      <c r="B33" s="3"/>
      <c r="C33" s="3"/>
      <c r="D33" s="3"/>
      <c r="E33" s="3"/>
      <c r="F33" s="3"/>
      <c r="G33" s="3"/>
      <c r="H33" s="3"/>
      <c r="I33" s="3"/>
      <c r="J33" s="3"/>
      <c r="K33" s="8" t="str">
        <f t="shared" ca="1" si="0"/>
        <v/>
      </c>
      <c r="L33" s="8" t="str">
        <f t="shared" ca="1" si="1"/>
        <v/>
      </c>
    </row>
    <row r="34" spans="1:12" x14ac:dyDescent="0.55000000000000004">
      <c r="A34" s="7" t="s">
        <v>126</v>
      </c>
      <c r="B34" s="3"/>
      <c r="C34" s="3"/>
      <c r="D34" s="3"/>
      <c r="E34" s="3"/>
      <c r="F34" s="3"/>
      <c r="G34" s="3"/>
      <c r="H34" s="3"/>
      <c r="I34" s="3"/>
      <c r="J34" s="3"/>
      <c r="K34" s="8" t="str">
        <f t="shared" ca="1" si="0"/>
        <v/>
      </c>
      <c r="L34" s="8" t="str">
        <f t="shared" ca="1" si="1"/>
        <v/>
      </c>
    </row>
    <row r="35" spans="1:12" x14ac:dyDescent="0.55000000000000004">
      <c r="A35" s="7" t="s">
        <v>127</v>
      </c>
      <c r="B35" s="3"/>
      <c r="C35" s="3"/>
      <c r="D35" s="3"/>
      <c r="E35" s="3"/>
      <c r="F35" s="3"/>
      <c r="G35" s="3"/>
      <c r="H35" s="3"/>
      <c r="I35" s="3"/>
      <c r="J35" s="3"/>
      <c r="K35" s="8" t="str">
        <f t="shared" ca="1" si="0"/>
        <v/>
      </c>
      <c r="L35" s="8" t="str">
        <f t="shared" ca="1" si="1"/>
        <v/>
      </c>
    </row>
    <row r="36" spans="1:12" x14ac:dyDescent="0.55000000000000004">
      <c r="A36" s="7" t="s">
        <v>128</v>
      </c>
      <c r="B36" s="3"/>
      <c r="C36" s="3"/>
      <c r="D36" s="3"/>
      <c r="E36" s="3"/>
      <c r="F36" s="3"/>
      <c r="G36" s="3"/>
      <c r="H36" s="3"/>
      <c r="I36" s="3"/>
      <c r="J36" s="3"/>
      <c r="K36" s="8" t="str">
        <f t="shared" ca="1" si="0"/>
        <v/>
      </c>
      <c r="L36" s="8" t="str">
        <f t="shared" ca="1" si="1"/>
        <v/>
      </c>
    </row>
    <row r="37" spans="1:12" x14ac:dyDescent="0.55000000000000004">
      <c r="A37" s="7" t="s">
        <v>129</v>
      </c>
      <c r="B37" s="3"/>
      <c r="C37" s="3"/>
      <c r="D37" s="3"/>
      <c r="E37" s="3"/>
      <c r="F37" s="3"/>
      <c r="G37" s="3"/>
      <c r="H37" s="3"/>
      <c r="I37" s="3"/>
      <c r="J37" s="3"/>
      <c r="K37" s="8" t="str">
        <f t="shared" ca="1" si="0"/>
        <v/>
      </c>
      <c r="L37" s="8" t="str">
        <f t="shared" ca="1" si="1"/>
        <v/>
      </c>
    </row>
    <row r="38" spans="1:12" x14ac:dyDescent="0.55000000000000004">
      <c r="A38" s="7" t="s">
        <v>130</v>
      </c>
      <c r="B38" s="3"/>
      <c r="C38" s="3"/>
      <c r="D38" s="3"/>
      <c r="E38" s="3"/>
      <c r="F38" s="3"/>
      <c r="G38" s="3"/>
      <c r="H38" s="3"/>
      <c r="I38" s="3"/>
      <c r="J38" s="3"/>
      <c r="K38" s="8" t="str">
        <f t="shared" ca="1" si="0"/>
        <v/>
      </c>
      <c r="L38" s="8" t="str">
        <f t="shared" ca="1" si="1"/>
        <v/>
      </c>
    </row>
    <row r="39" spans="1:12" x14ac:dyDescent="0.55000000000000004">
      <c r="A39" s="7" t="s">
        <v>131</v>
      </c>
      <c r="B39" s="3"/>
      <c r="C39" s="3"/>
      <c r="D39" s="3"/>
      <c r="E39" s="3"/>
      <c r="F39" s="3"/>
      <c r="G39" s="3"/>
      <c r="H39" s="3"/>
      <c r="I39" s="3"/>
      <c r="J39" s="3"/>
      <c r="K39" s="8" t="str">
        <f t="shared" ca="1" si="0"/>
        <v/>
      </c>
      <c r="L39" s="8" t="str">
        <f t="shared" ca="1" si="1"/>
        <v/>
      </c>
    </row>
    <row r="40" spans="1:12" x14ac:dyDescent="0.55000000000000004">
      <c r="A40" s="7" t="s">
        <v>132</v>
      </c>
      <c r="B40" s="3"/>
      <c r="C40" s="3"/>
      <c r="D40" s="3"/>
      <c r="E40" s="3"/>
      <c r="F40" s="3"/>
      <c r="G40" s="3"/>
      <c r="H40" s="3"/>
      <c r="I40" s="3"/>
      <c r="J40" s="3"/>
      <c r="K40" s="8" t="str">
        <f t="shared" ca="1" si="0"/>
        <v/>
      </c>
      <c r="L40" s="8" t="str">
        <f t="shared" ca="1" si="1"/>
        <v/>
      </c>
    </row>
    <row r="41" spans="1:12" x14ac:dyDescent="0.55000000000000004">
      <c r="A41" s="7" t="s">
        <v>133</v>
      </c>
      <c r="B41" s="3"/>
      <c r="C41" s="3"/>
      <c r="D41" s="3"/>
      <c r="E41" s="3"/>
      <c r="F41" s="3"/>
      <c r="G41" s="3"/>
      <c r="H41" s="3"/>
      <c r="I41" s="3"/>
      <c r="J41" s="3"/>
      <c r="K41" s="8" t="str">
        <f t="shared" ca="1" si="0"/>
        <v/>
      </c>
      <c r="L41" s="8" t="str">
        <f t="shared" ca="1" si="1"/>
        <v/>
      </c>
    </row>
    <row r="42" spans="1:12" x14ac:dyDescent="0.55000000000000004">
      <c r="A42" s="7" t="s">
        <v>134</v>
      </c>
      <c r="B42" s="3"/>
      <c r="C42" s="3"/>
      <c r="D42" s="3"/>
      <c r="E42" s="3"/>
      <c r="F42" s="3"/>
      <c r="G42" s="3"/>
      <c r="H42" s="3"/>
      <c r="I42" s="3"/>
      <c r="J42" s="3"/>
      <c r="K42" s="8" t="str">
        <f t="shared" ca="1" si="0"/>
        <v/>
      </c>
      <c r="L42" s="8" t="str">
        <f t="shared" ca="1" si="1"/>
        <v/>
      </c>
    </row>
    <row r="43" spans="1:12" x14ac:dyDescent="0.55000000000000004">
      <c r="A43" s="7" t="s">
        <v>135</v>
      </c>
      <c r="B43" s="3"/>
      <c r="C43" s="3"/>
      <c r="D43" s="3"/>
      <c r="E43" s="3"/>
      <c r="F43" s="3"/>
      <c r="G43" s="3"/>
      <c r="H43" s="3"/>
      <c r="I43" s="3"/>
      <c r="J43" s="3"/>
      <c r="K43" s="8" t="str">
        <f t="shared" ca="1" si="0"/>
        <v/>
      </c>
      <c r="L43" s="8" t="str">
        <f t="shared" ca="1" si="1"/>
        <v/>
      </c>
    </row>
    <row r="44" spans="1:12" x14ac:dyDescent="0.55000000000000004">
      <c r="A44" s="7" t="s">
        <v>136</v>
      </c>
      <c r="B44" s="3"/>
      <c r="C44" s="3"/>
      <c r="D44" s="3"/>
      <c r="E44" s="3"/>
      <c r="F44" s="3"/>
      <c r="G44" s="3"/>
      <c r="H44" s="3"/>
      <c r="I44" s="3"/>
      <c r="J44" s="3"/>
      <c r="K44" s="8" t="str">
        <f t="shared" ca="1" si="0"/>
        <v/>
      </c>
      <c r="L44" s="8" t="str">
        <f t="shared" ca="1" si="1"/>
        <v/>
      </c>
    </row>
    <row r="47" spans="1:12" ht="15.3" x14ac:dyDescent="0.55000000000000004">
      <c r="A47" s="5" t="s">
        <v>137</v>
      </c>
    </row>
    <row r="48" spans="1:12" x14ac:dyDescent="0.55000000000000004">
      <c r="A48" s="6" t="s">
        <v>10</v>
      </c>
      <c r="B48" s="6" t="s">
        <v>7</v>
      </c>
      <c r="C48" s="6" t="s">
        <v>8</v>
      </c>
      <c r="D48" s="6" t="s">
        <v>12</v>
      </c>
      <c r="E48" s="6" t="s">
        <v>13</v>
      </c>
    </row>
    <row r="49" spans="1:5" x14ac:dyDescent="0.55000000000000004">
      <c r="A49" s="8" t="s">
        <v>138</v>
      </c>
      <c r="B49" s="8" t="s">
        <v>139</v>
      </c>
      <c r="C49" s="8">
        <f>COUNTIF(J5:J44,"Abierto")+COUNTIF(J5:J44,"En Progreso")</f>
        <v>0</v>
      </c>
      <c r="D49" s="8" t="s">
        <v>140</v>
      </c>
      <c r="E49" s="8" t="str">
        <f>IF(C49&lt;=5,"✅","❌")</f>
        <v>✅</v>
      </c>
    </row>
    <row r="50" spans="1:5" x14ac:dyDescent="0.55000000000000004">
      <c r="A50" s="8" t="s">
        <v>141</v>
      </c>
      <c r="B50" s="8" t="s">
        <v>142</v>
      </c>
      <c r="C50" s="8" t="str">
        <f>IF(COUNTIF(J5:J44,"Cerrado")&gt;0,COUNTIFS(J5:J44,"Cerrado",K5:K44,"&lt;=15")/COUNTIF(J5:J44,"Cerrado")*100,"-")</f>
        <v>-</v>
      </c>
      <c r="D50" s="8" t="s">
        <v>29</v>
      </c>
      <c r="E50" s="8" t="str">
        <f>IF(C50="-","⚪",IF(C50&gt;=90,"✅","❌"))</f>
        <v>⚪</v>
      </c>
    </row>
    <row r="51" spans="1:5" x14ac:dyDescent="0.55000000000000004">
      <c r="A51" s="8" t="s">
        <v>143</v>
      </c>
      <c r="B51" s="8" t="s">
        <v>144</v>
      </c>
      <c r="C51" s="8">
        <f ca="1">COUNTIFS(J5:J44,"&lt;&gt;Cerrado",K5:K44,"&gt;15")</f>
        <v>0</v>
      </c>
      <c r="D51" s="8">
        <f>0</f>
        <v>0</v>
      </c>
      <c r="E51" s="8" t="str">
        <f ca="1">IF(C51=0,"✅","❌")</f>
        <v>✅</v>
      </c>
    </row>
    <row r="52" spans="1:5" x14ac:dyDescent="0.55000000000000004">
      <c r="A52" s="8" t="s">
        <v>145</v>
      </c>
      <c r="B52" s="8" t="s">
        <v>146</v>
      </c>
      <c r="C52" s="8" t="str">
        <f>IF(COUNTIF(J5:J44,"Cerrado")&gt;0,AVERAGEIF(J5:J44,"Cerrado",K5:K44),"-")</f>
        <v>-</v>
      </c>
      <c r="D52" s="8" t="s">
        <v>147</v>
      </c>
      <c r="E52" s="8" t="str">
        <f>IF(C52="-","⚪",IF(C52&lt;=10,"✅","❌"))</f>
        <v>⚪</v>
      </c>
    </row>
    <row r="53" spans="1:5" x14ac:dyDescent="0.55000000000000004">
      <c r="A53" s="8" t="s">
        <v>148</v>
      </c>
      <c r="B53" s="8" t="s">
        <v>149</v>
      </c>
      <c r="C53" s="8" t="str">
        <f>IF(COUNTA(F5:F44)&gt;0,COUNTIF(F5:F44,"Major")/COUNTA(F5:F44)*100,"-")</f>
        <v>-</v>
      </c>
      <c r="D53" s="8" t="s">
        <v>150</v>
      </c>
      <c r="E53" s="8" t="str">
        <f>IF(C53="-","⚪",IF(C53&lt;=5,"✅","❌"))</f>
        <v>⚪</v>
      </c>
    </row>
  </sheetData>
  <mergeCells count="1">
    <mergeCell ref="A1:L1"/>
  </mergeCells>
  <dataValidations count="3">
    <dataValidation type="list" allowBlank="1" sqref="J5:J44" xr:uid="{00000000-0002-0000-0100-000000000000}">
      <formula1>"Abierto,En Progreso,Cerrado"</formula1>
      <formula2>0</formula2>
    </dataValidation>
    <dataValidation type="list" allowBlank="1" sqref="F5:F44" xr:uid="{00000000-0002-0000-0100-000001000000}">
      <formula1>"Major,Minor,Observación"</formula1>
      <formula2>0</formula2>
    </dataValidation>
    <dataValidation type="list" allowBlank="1" sqref="E5:E44" xr:uid="{00000000-0002-0000-0100-000002000000}">
      <formula1>"Documentación,eCRF/EDC,Training,Consentimientos,Regulatorio,Farmacia,Lab,Proceso,Otro"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zoomScaleNormal="100" workbookViewId="0">
      <selection sqref="A1:H1"/>
    </sheetView>
  </sheetViews>
  <sheetFormatPr baseColWidth="10" defaultColWidth="8.68359375" defaultRowHeight="14.4" x14ac:dyDescent="0.55000000000000004"/>
  <cols>
    <col min="1" max="8" width="18" customWidth="1"/>
  </cols>
  <sheetData>
    <row r="1" spans="1:8" ht="19.8" x14ac:dyDescent="0.65">
      <c r="A1" s="2" t="s">
        <v>151</v>
      </c>
      <c r="B1" s="2"/>
      <c r="C1" s="2"/>
      <c r="D1" s="2"/>
      <c r="E1" s="2"/>
      <c r="F1" s="2"/>
      <c r="G1" s="2"/>
      <c r="H1" s="2"/>
    </row>
    <row r="2" spans="1:8" x14ac:dyDescent="0.55000000000000004">
      <c r="A2" s="4" t="s">
        <v>152</v>
      </c>
    </row>
    <row r="4" spans="1:8" x14ac:dyDescent="0.55000000000000004">
      <c r="A4" s="11" t="s">
        <v>10</v>
      </c>
      <c r="B4" s="11" t="s">
        <v>87</v>
      </c>
      <c r="C4" s="11" t="s">
        <v>153</v>
      </c>
      <c r="D4" s="11" t="s">
        <v>154</v>
      </c>
      <c r="E4" s="11" t="s">
        <v>155</v>
      </c>
      <c r="F4" s="11" t="s">
        <v>156</v>
      </c>
      <c r="G4" s="11" t="s">
        <v>157</v>
      </c>
      <c r="H4" s="11" t="s">
        <v>158</v>
      </c>
    </row>
    <row r="5" spans="1:8" x14ac:dyDescent="0.55000000000000004">
      <c r="A5" s="7" t="s">
        <v>159</v>
      </c>
      <c r="B5" s="3"/>
      <c r="C5" s="3"/>
      <c r="D5" s="3"/>
      <c r="E5" s="8" t="str">
        <f t="shared" ref="E5:E36" si="0">IF(OR(C5="",D5=""),"",D5-C5)</f>
        <v/>
      </c>
      <c r="F5" s="8" t="str">
        <f t="shared" ref="F5:F36" si="1">IF(E5="","",IF(E5&lt;=1,"✅","❌"))</f>
        <v/>
      </c>
      <c r="G5" s="3"/>
      <c r="H5" s="3"/>
    </row>
    <row r="6" spans="1:8" x14ac:dyDescent="0.55000000000000004">
      <c r="A6" s="7" t="s">
        <v>160</v>
      </c>
      <c r="B6" s="3"/>
      <c r="C6" s="3"/>
      <c r="D6" s="3"/>
      <c r="E6" s="8" t="str">
        <f t="shared" si="0"/>
        <v/>
      </c>
      <c r="F6" s="8" t="str">
        <f t="shared" si="1"/>
        <v/>
      </c>
      <c r="G6" s="3"/>
      <c r="H6" s="3"/>
    </row>
    <row r="7" spans="1:8" x14ac:dyDescent="0.55000000000000004">
      <c r="A7" s="7" t="s">
        <v>161</v>
      </c>
      <c r="B7" s="3"/>
      <c r="C7" s="3"/>
      <c r="D7" s="3"/>
      <c r="E7" s="8" t="str">
        <f t="shared" si="0"/>
        <v/>
      </c>
      <c r="F7" s="8" t="str">
        <f t="shared" si="1"/>
        <v/>
      </c>
      <c r="G7" s="3"/>
      <c r="H7" s="3"/>
    </row>
    <row r="8" spans="1:8" x14ac:dyDescent="0.55000000000000004">
      <c r="A8" s="7" t="s">
        <v>162</v>
      </c>
      <c r="B8" s="3"/>
      <c r="C8" s="3"/>
      <c r="D8" s="3"/>
      <c r="E8" s="8" t="str">
        <f t="shared" si="0"/>
        <v/>
      </c>
      <c r="F8" s="8" t="str">
        <f t="shared" si="1"/>
        <v/>
      </c>
      <c r="G8" s="3"/>
      <c r="H8" s="3"/>
    </row>
    <row r="9" spans="1:8" x14ac:dyDescent="0.55000000000000004">
      <c r="A9" s="7" t="s">
        <v>163</v>
      </c>
      <c r="B9" s="3"/>
      <c r="C9" s="3"/>
      <c r="D9" s="3"/>
      <c r="E9" s="8" t="str">
        <f t="shared" si="0"/>
        <v/>
      </c>
      <c r="F9" s="8" t="str">
        <f t="shared" si="1"/>
        <v/>
      </c>
      <c r="G9" s="3"/>
      <c r="H9" s="3"/>
    </row>
    <row r="10" spans="1:8" x14ac:dyDescent="0.55000000000000004">
      <c r="A10" s="7" t="s">
        <v>164</v>
      </c>
      <c r="B10" s="3"/>
      <c r="C10" s="3"/>
      <c r="D10" s="3"/>
      <c r="E10" s="8" t="str">
        <f t="shared" si="0"/>
        <v/>
      </c>
      <c r="F10" s="8" t="str">
        <f t="shared" si="1"/>
        <v/>
      </c>
      <c r="G10" s="3"/>
      <c r="H10" s="3"/>
    </row>
    <row r="11" spans="1:8" x14ac:dyDescent="0.55000000000000004">
      <c r="A11" s="7" t="s">
        <v>165</v>
      </c>
      <c r="B11" s="3"/>
      <c r="C11" s="3"/>
      <c r="D11" s="3"/>
      <c r="E11" s="8" t="str">
        <f t="shared" si="0"/>
        <v/>
      </c>
      <c r="F11" s="8" t="str">
        <f t="shared" si="1"/>
        <v/>
      </c>
      <c r="G11" s="3"/>
      <c r="H11" s="3"/>
    </row>
    <row r="12" spans="1:8" x14ac:dyDescent="0.55000000000000004">
      <c r="A12" s="7" t="s">
        <v>166</v>
      </c>
      <c r="B12" s="3"/>
      <c r="C12" s="3"/>
      <c r="D12" s="3"/>
      <c r="E12" s="8" t="str">
        <f t="shared" si="0"/>
        <v/>
      </c>
      <c r="F12" s="8" t="str">
        <f t="shared" si="1"/>
        <v/>
      </c>
      <c r="G12" s="3"/>
      <c r="H12" s="3"/>
    </row>
    <row r="13" spans="1:8" x14ac:dyDescent="0.55000000000000004">
      <c r="A13" s="7" t="s">
        <v>167</v>
      </c>
      <c r="B13" s="3"/>
      <c r="C13" s="3"/>
      <c r="D13" s="3"/>
      <c r="E13" s="8" t="str">
        <f t="shared" si="0"/>
        <v/>
      </c>
      <c r="F13" s="8" t="str">
        <f t="shared" si="1"/>
        <v/>
      </c>
      <c r="G13" s="3"/>
      <c r="H13" s="3"/>
    </row>
    <row r="14" spans="1:8" x14ac:dyDescent="0.55000000000000004">
      <c r="A14" s="7" t="s">
        <v>168</v>
      </c>
      <c r="B14" s="3"/>
      <c r="C14" s="3"/>
      <c r="D14" s="3"/>
      <c r="E14" s="8" t="str">
        <f t="shared" si="0"/>
        <v/>
      </c>
      <c r="F14" s="8" t="str">
        <f t="shared" si="1"/>
        <v/>
      </c>
      <c r="G14" s="3"/>
      <c r="H14" s="3"/>
    </row>
    <row r="15" spans="1:8" x14ac:dyDescent="0.55000000000000004">
      <c r="A15" s="7" t="s">
        <v>169</v>
      </c>
      <c r="B15" s="3"/>
      <c r="C15" s="3"/>
      <c r="D15" s="3"/>
      <c r="E15" s="8" t="str">
        <f t="shared" si="0"/>
        <v/>
      </c>
      <c r="F15" s="8" t="str">
        <f t="shared" si="1"/>
        <v/>
      </c>
      <c r="G15" s="3"/>
      <c r="H15" s="3"/>
    </row>
    <row r="16" spans="1:8" x14ac:dyDescent="0.55000000000000004">
      <c r="A16" s="7" t="s">
        <v>170</v>
      </c>
      <c r="B16" s="3"/>
      <c r="C16" s="3"/>
      <c r="D16" s="3"/>
      <c r="E16" s="8" t="str">
        <f t="shared" si="0"/>
        <v/>
      </c>
      <c r="F16" s="8" t="str">
        <f t="shared" si="1"/>
        <v/>
      </c>
      <c r="G16" s="3"/>
      <c r="H16" s="3"/>
    </row>
    <row r="17" spans="1:8" x14ac:dyDescent="0.55000000000000004">
      <c r="A17" s="7" t="s">
        <v>171</v>
      </c>
      <c r="B17" s="3"/>
      <c r="C17" s="3"/>
      <c r="D17" s="3"/>
      <c r="E17" s="8" t="str">
        <f t="shared" si="0"/>
        <v/>
      </c>
      <c r="F17" s="8" t="str">
        <f t="shared" si="1"/>
        <v/>
      </c>
      <c r="G17" s="3"/>
      <c r="H17" s="3"/>
    </row>
    <row r="18" spans="1:8" x14ac:dyDescent="0.55000000000000004">
      <c r="A18" s="7" t="s">
        <v>172</v>
      </c>
      <c r="B18" s="3"/>
      <c r="C18" s="3"/>
      <c r="D18" s="3"/>
      <c r="E18" s="8" t="str">
        <f t="shared" si="0"/>
        <v/>
      </c>
      <c r="F18" s="8" t="str">
        <f t="shared" si="1"/>
        <v/>
      </c>
      <c r="G18" s="3"/>
      <c r="H18" s="3"/>
    </row>
    <row r="19" spans="1:8" x14ac:dyDescent="0.55000000000000004">
      <c r="A19" s="7" t="s">
        <v>173</v>
      </c>
      <c r="B19" s="3"/>
      <c r="C19" s="3"/>
      <c r="D19" s="3"/>
      <c r="E19" s="8" t="str">
        <f t="shared" si="0"/>
        <v/>
      </c>
      <c r="F19" s="8" t="str">
        <f t="shared" si="1"/>
        <v/>
      </c>
      <c r="G19" s="3"/>
      <c r="H19" s="3"/>
    </row>
    <row r="20" spans="1:8" x14ac:dyDescent="0.55000000000000004">
      <c r="A20" s="7" t="s">
        <v>174</v>
      </c>
      <c r="B20" s="3"/>
      <c r="C20" s="3"/>
      <c r="D20" s="3"/>
      <c r="E20" s="8" t="str">
        <f t="shared" si="0"/>
        <v/>
      </c>
      <c r="F20" s="8" t="str">
        <f t="shared" si="1"/>
        <v/>
      </c>
      <c r="G20" s="3"/>
      <c r="H20" s="3"/>
    </row>
    <row r="21" spans="1:8" x14ac:dyDescent="0.55000000000000004">
      <c r="A21" s="7" t="s">
        <v>175</v>
      </c>
      <c r="B21" s="3"/>
      <c r="C21" s="3"/>
      <c r="D21" s="3"/>
      <c r="E21" s="8" t="str">
        <f t="shared" si="0"/>
        <v/>
      </c>
      <c r="F21" s="8" t="str">
        <f t="shared" si="1"/>
        <v/>
      </c>
      <c r="G21" s="3"/>
      <c r="H21" s="3"/>
    </row>
    <row r="22" spans="1:8" x14ac:dyDescent="0.55000000000000004">
      <c r="A22" s="7" t="s">
        <v>176</v>
      </c>
      <c r="B22" s="3"/>
      <c r="C22" s="3"/>
      <c r="D22" s="3"/>
      <c r="E22" s="8" t="str">
        <f t="shared" si="0"/>
        <v/>
      </c>
      <c r="F22" s="8" t="str">
        <f t="shared" si="1"/>
        <v/>
      </c>
      <c r="G22" s="3"/>
      <c r="H22" s="3"/>
    </row>
    <row r="23" spans="1:8" x14ac:dyDescent="0.55000000000000004">
      <c r="A23" s="7" t="s">
        <v>177</v>
      </c>
      <c r="B23" s="3"/>
      <c r="C23" s="3"/>
      <c r="D23" s="3"/>
      <c r="E23" s="8" t="str">
        <f t="shared" si="0"/>
        <v/>
      </c>
      <c r="F23" s="8" t="str">
        <f t="shared" si="1"/>
        <v/>
      </c>
      <c r="G23" s="3"/>
      <c r="H23" s="3"/>
    </row>
    <row r="24" spans="1:8" x14ac:dyDescent="0.55000000000000004">
      <c r="A24" s="7" t="s">
        <v>178</v>
      </c>
      <c r="B24" s="3"/>
      <c r="C24" s="3"/>
      <c r="D24" s="3"/>
      <c r="E24" s="8" t="str">
        <f t="shared" si="0"/>
        <v/>
      </c>
      <c r="F24" s="8" t="str">
        <f t="shared" si="1"/>
        <v/>
      </c>
      <c r="G24" s="3"/>
      <c r="H24" s="3"/>
    </row>
    <row r="25" spans="1:8" x14ac:dyDescent="0.55000000000000004">
      <c r="A25" s="7" t="s">
        <v>179</v>
      </c>
      <c r="B25" s="3"/>
      <c r="C25" s="3"/>
      <c r="D25" s="3"/>
      <c r="E25" s="8" t="str">
        <f t="shared" si="0"/>
        <v/>
      </c>
      <c r="F25" s="8" t="str">
        <f t="shared" si="1"/>
        <v/>
      </c>
      <c r="G25" s="3"/>
      <c r="H25" s="3"/>
    </row>
    <row r="26" spans="1:8" x14ac:dyDescent="0.55000000000000004">
      <c r="A26" s="7" t="s">
        <v>180</v>
      </c>
      <c r="B26" s="3"/>
      <c r="C26" s="3"/>
      <c r="D26" s="3"/>
      <c r="E26" s="8" t="str">
        <f t="shared" si="0"/>
        <v/>
      </c>
      <c r="F26" s="8" t="str">
        <f t="shared" si="1"/>
        <v/>
      </c>
      <c r="G26" s="3"/>
      <c r="H26" s="3"/>
    </row>
    <row r="27" spans="1:8" x14ac:dyDescent="0.55000000000000004">
      <c r="A27" s="7" t="s">
        <v>181</v>
      </c>
      <c r="B27" s="3"/>
      <c r="C27" s="3"/>
      <c r="D27" s="3"/>
      <c r="E27" s="8" t="str">
        <f t="shared" si="0"/>
        <v/>
      </c>
      <c r="F27" s="8" t="str">
        <f t="shared" si="1"/>
        <v/>
      </c>
      <c r="G27" s="3"/>
      <c r="H27" s="3"/>
    </row>
    <row r="28" spans="1:8" x14ac:dyDescent="0.55000000000000004">
      <c r="A28" s="7" t="s">
        <v>182</v>
      </c>
      <c r="B28" s="3"/>
      <c r="C28" s="3"/>
      <c r="D28" s="3"/>
      <c r="E28" s="8" t="str">
        <f t="shared" si="0"/>
        <v/>
      </c>
      <c r="F28" s="8" t="str">
        <f t="shared" si="1"/>
        <v/>
      </c>
      <c r="G28" s="3"/>
      <c r="H28" s="3"/>
    </row>
    <row r="29" spans="1:8" x14ac:dyDescent="0.55000000000000004">
      <c r="A29" s="7" t="s">
        <v>183</v>
      </c>
      <c r="B29" s="3"/>
      <c r="C29" s="3"/>
      <c r="D29" s="3"/>
      <c r="E29" s="8" t="str">
        <f t="shared" si="0"/>
        <v/>
      </c>
      <c r="F29" s="8" t="str">
        <f t="shared" si="1"/>
        <v/>
      </c>
      <c r="G29" s="3"/>
      <c r="H29" s="3"/>
    </row>
    <row r="30" spans="1:8" x14ac:dyDescent="0.55000000000000004">
      <c r="A30" s="7" t="s">
        <v>184</v>
      </c>
      <c r="B30" s="3"/>
      <c r="C30" s="3"/>
      <c r="D30" s="3"/>
      <c r="E30" s="8" t="str">
        <f t="shared" si="0"/>
        <v/>
      </c>
      <c r="F30" s="8" t="str">
        <f t="shared" si="1"/>
        <v/>
      </c>
      <c r="G30" s="3"/>
      <c r="H30" s="3"/>
    </row>
    <row r="31" spans="1:8" x14ac:dyDescent="0.55000000000000004">
      <c r="A31" s="7" t="s">
        <v>185</v>
      </c>
      <c r="B31" s="3"/>
      <c r="C31" s="3"/>
      <c r="D31" s="3"/>
      <c r="E31" s="8" t="str">
        <f t="shared" si="0"/>
        <v/>
      </c>
      <c r="F31" s="8" t="str">
        <f t="shared" si="1"/>
        <v/>
      </c>
      <c r="G31" s="3"/>
      <c r="H31" s="3"/>
    </row>
    <row r="32" spans="1:8" x14ac:dyDescent="0.55000000000000004">
      <c r="A32" s="7" t="s">
        <v>186</v>
      </c>
      <c r="B32" s="3"/>
      <c r="C32" s="3"/>
      <c r="D32" s="3"/>
      <c r="E32" s="8" t="str">
        <f t="shared" si="0"/>
        <v/>
      </c>
      <c r="F32" s="8" t="str">
        <f t="shared" si="1"/>
        <v/>
      </c>
      <c r="G32" s="3"/>
      <c r="H32" s="3"/>
    </row>
    <row r="33" spans="1:8" x14ac:dyDescent="0.55000000000000004">
      <c r="A33" s="7" t="s">
        <v>187</v>
      </c>
      <c r="B33" s="3"/>
      <c r="C33" s="3"/>
      <c r="D33" s="3"/>
      <c r="E33" s="8" t="str">
        <f t="shared" si="0"/>
        <v/>
      </c>
      <c r="F33" s="8" t="str">
        <f t="shared" si="1"/>
        <v/>
      </c>
      <c r="G33" s="3"/>
      <c r="H33" s="3"/>
    </row>
    <row r="34" spans="1:8" x14ac:dyDescent="0.55000000000000004">
      <c r="A34" s="7" t="s">
        <v>188</v>
      </c>
      <c r="B34" s="3"/>
      <c r="C34" s="3"/>
      <c r="D34" s="3"/>
      <c r="E34" s="8" t="str">
        <f t="shared" si="0"/>
        <v/>
      </c>
      <c r="F34" s="8" t="str">
        <f t="shared" si="1"/>
        <v/>
      </c>
      <c r="G34" s="3"/>
      <c r="H34" s="3"/>
    </row>
    <row r="35" spans="1:8" x14ac:dyDescent="0.55000000000000004">
      <c r="A35" s="7" t="s">
        <v>189</v>
      </c>
      <c r="B35" s="3"/>
      <c r="C35" s="3"/>
      <c r="D35" s="3"/>
      <c r="E35" s="8" t="str">
        <f t="shared" si="0"/>
        <v/>
      </c>
      <c r="F35" s="8" t="str">
        <f t="shared" si="1"/>
        <v/>
      </c>
      <c r="G35" s="3"/>
      <c r="H35" s="3"/>
    </row>
    <row r="36" spans="1:8" x14ac:dyDescent="0.55000000000000004">
      <c r="A36" s="7" t="s">
        <v>190</v>
      </c>
      <c r="B36" s="3"/>
      <c r="C36" s="3"/>
      <c r="D36" s="3"/>
      <c r="E36" s="8" t="str">
        <f t="shared" si="0"/>
        <v/>
      </c>
      <c r="F36" s="8" t="str">
        <f t="shared" si="1"/>
        <v/>
      </c>
      <c r="G36" s="3"/>
      <c r="H36" s="3"/>
    </row>
    <row r="37" spans="1:8" x14ac:dyDescent="0.55000000000000004">
      <c r="A37" s="7" t="s">
        <v>191</v>
      </c>
      <c r="B37" s="3"/>
      <c r="C37" s="3"/>
      <c r="D37" s="3"/>
      <c r="E37" s="8" t="str">
        <f t="shared" ref="E37:E68" si="2">IF(OR(C37="",D37=""),"",D37-C37)</f>
        <v/>
      </c>
      <c r="F37" s="8" t="str">
        <f t="shared" ref="F37:F68" si="3">IF(E37="","",IF(E37&lt;=1,"✅","❌"))</f>
        <v/>
      </c>
      <c r="G37" s="3"/>
      <c r="H37" s="3"/>
    </row>
    <row r="38" spans="1:8" x14ac:dyDescent="0.55000000000000004">
      <c r="A38" s="7" t="s">
        <v>192</v>
      </c>
      <c r="B38" s="3"/>
      <c r="C38" s="3"/>
      <c r="D38" s="3"/>
      <c r="E38" s="8" t="str">
        <f t="shared" si="2"/>
        <v/>
      </c>
      <c r="F38" s="8" t="str">
        <f t="shared" si="3"/>
        <v/>
      </c>
      <c r="G38" s="3"/>
      <c r="H38" s="3"/>
    </row>
    <row r="39" spans="1:8" x14ac:dyDescent="0.55000000000000004">
      <c r="A39" s="7" t="s">
        <v>193</v>
      </c>
      <c r="B39" s="3"/>
      <c r="C39" s="3"/>
      <c r="D39" s="3"/>
      <c r="E39" s="8" t="str">
        <f t="shared" si="2"/>
        <v/>
      </c>
      <c r="F39" s="8" t="str">
        <f t="shared" si="3"/>
        <v/>
      </c>
      <c r="G39" s="3"/>
      <c r="H39" s="3"/>
    </row>
    <row r="40" spans="1:8" x14ac:dyDescent="0.55000000000000004">
      <c r="A40" s="7" t="s">
        <v>194</v>
      </c>
      <c r="B40" s="3"/>
      <c r="C40" s="3"/>
      <c r="D40" s="3"/>
      <c r="E40" s="8" t="str">
        <f t="shared" si="2"/>
        <v/>
      </c>
      <c r="F40" s="8" t="str">
        <f t="shared" si="3"/>
        <v/>
      </c>
      <c r="G40" s="3"/>
      <c r="H40" s="3"/>
    </row>
    <row r="41" spans="1:8" x14ac:dyDescent="0.55000000000000004">
      <c r="A41" s="7" t="s">
        <v>195</v>
      </c>
      <c r="B41" s="3"/>
      <c r="C41" s="3"/>
      <c r="D41" s="3"/>
      <c r="E41" s="8" t="str">
        <f t="shared" si="2"/>
        <v/>
      </c>
      <c r="F41" s="8" t="str">
        <f t="shared" si="3"/>
        <v/>
      </c>
      <c r="G41" s="3"/>
      <c r="H41" s="3"/>
    </row>
    <row r="42" spans="1:8" x14ac:dyDescent="0.55000000000000004">
      <c r="A42" s="7" t="s">
        <v>196</v>
      </c>
      <c r="B42" s="3"/>
      <c r="C42" s="3"/>
      <c r="D42" s="3"/>
      <c r="E42" s="8" t="str">
        <f t="shared" si="2"/>
        <v/>
      </c>
      <c r="F42" s="8" t="str">
        <f t="shared" si="3"/>
        <v/>
      </c>
      <c r="G42" s="3"/>
      <c r="H42" s="3"/>
    </row>
    <row r="43" spans="1:8" x14ac:dyDescent="0.55000000000000004">
      <c r="A43" s="7" t="s">
        <v>197</v>
      </c>
      <c r="B43" s="3"/>
      <c r="C43" s="3"/>
      <c r="D43" s="3"/>
      <c r="E43" s="8" t="str">
        <f t="shared" si="2"/>
        <v/>
      </c>
      <c r="F43" s="8" t="str">
        <f t="shared" si="3"/>
        <v/>
      </c>
      <c r="G43" s="3"/>
      <c r="H43" s="3"/>
    </row>
    <row r="44" spans="1:8" x14ac:dyDescent="0.55000000000000004">
      <c r="A44" s="7" t="s">
        <v>198</v>
      </c>
      <c r="B44" s="3"/>
      <c r="C44" s="3"/>
      <c r="D44" s="3"/>
      <c r="E44" s="8" t="str">
        <f t="shared" si="2"/>
        <v/>
      </c>
      <c r="F44" s="8" t="str">
        <f t="shared" si="3"/>
        <v/>
      </c>
      <c r="G44" s="3"/>
      <c r="H44" s="3"/>
    </row>
    <row r="45" spans="1:8" x14ac:dyDescent="0.55000000000000004">
      <c r="A45" s="7" t="s">
        <v>199</v>
      </c>
      <c r="B45" s="3"/>
      <c r="C45" s="3"/>
      <c r="D45" s="3"/>
      <c r="E45" s="8" t="str">
        <f t="shared" si="2"/>
        <v/>
      </c>
      <c r="F45" s="8" t="str">
        <f t="shared" si="3"/>
        <v/>
      </c>
      <c r="G45" s="3"/>
      <c r="H45" s="3"/>
    </row>
    <row r="46" spans="1:8" x14ac:dyDescent="0.55000000000000004">
      <c r="A46" s="7" t="s">
        <v>200</v>
      </c>
      <c r="B46" s="3"/>
      <c r="C46" s="3"/>
      <c r="D46" s="3"/>
      <c r="E46" s="8" t="str">
        <f t="shared" si="2"/>
        <v/>
      </c>
      <c r="F46" s="8" t="str">
        <f t="shared" si="3"/>
        <v/>
      </c>
      <c r="G46" s="3"/>
      <c r="H46" s="3"/>
    </row>
    <row r="47" spans="1:8" x14ac:dyDescent="0.55000000000000004">
      <c r="A47" s="7" t="s">
        <v>201</v>
      </c>
      <c r="B47" s="3"/>
      <c r="C47" s="3"/>
      <c r="D47" s="3"/>
      <c r="E47" s="8" t="str">
        <f t="shared" si="2"/>
        <v/>
      </c>
      <c r="F47" s="8" t="str">
        <f t="shared" si="3"/>
        <v/>
      </c>
      <c r="G47" s="3"/>
      <c r="H47" s="3"/>
    </row>
    <row r="48" spans="1:8" x14ac:dyDescent="0.55000000000000004">
      <c r="A48" s="7" t="s">
        <v>202</v>
      </c>
      <c r="B48" s="3"/>
      <c r="C48" s="3"/>
      <c r="D48" s="3"/>
      <c r="E48" s="8" t="str">
        <f t="shared" si="2"/>
        <v/>
      </c>
      <c r="F48" s="8" t="str">
        <f t="shared" si="3"/>
        <v/>
      </c>
      <c r="G48" s="3"/>
      <c r="H48" s="3"/>
    </row>
    <row r="49" spans="1:8" x14ac:dyDescent="0.55000000000000004">
      <c r="A49" s="7" t="s">
        <v>203</v>
      </c>
      <c r="B49" s="3"/>
      <c r="C49" s="3"/>
      <c r="D49" s="3"/>
      <c r="E49" s="8" t="str">
        <f t="shared" si="2"/>
        <v/>
      </c>
      <c r="F49" s="8" t="str">
        <f t="shared" si="3"/>
        <v/>
      </c>
      <c r="G49" s="3"/>
      <c r="H49" s="3"/>
    </row>
    <row r="50" spans="1:8" x14ac:dyDescent="0.55000000000000004">
      <c r="A50" s="7" t="s">
        <v>204</v>
      </c>
      <c r="B50" s="3"/>
      <c r="C50" s="3"/>
      <c r="D50" s="3"/>
      <c r="E50" s="8" t="str">
        <f t="shared" si="2"/>
        <v/>
      </c>
      <c r="F50" s="8" t="str">
        <f t="shared" si="3"/>
        <v/>
      </c>
      <c r="G50" s="3"/>
      <c r="H50" s="3"/>
    </row>
    <row r="51" spans="1:8" x14ac:dyDescent="0.55000000000000004">
      <c r="A51" s="7" t="s">
        <v>205</v>
      </c>
      <c r="B51" s="3"/>
      <c r="C51" s="3"/>
      <c r="D51" s="3"/>
      <c r="E51" s="8" t="str">
        <f t="shared" si="2"/>
        <v/>
      </c>
      <c r="F51" s="8" t="str">
        <f t="shared" si="3"/>
        <v/>
      </c>
      <c r="G51" s="3"/>
      <c r="H51" s="3"/>
    </row>
    <row r="52" spans="1:8" x14ac:dyDescent="0.55000000000000004">
      <c r="A52" s="7" t="s">
        <v>206</v>
      </c>
      <c r="B52" s="3"/>
      <c r="C52" s="3"/>
      <c r="D52" s="3"/>
      <c r="E52" s="8" t="str">
        <f t="shared" si="2"/>
        <v/>
      </c>
      <c r="F52" s="8" t="str">
        <f t="shared" si="3"/>
        <v/>
      </c>
      <c r="G52" s="3"/>
      <c r="H52" s="3"/>
    </row>
    <row r="53" spans="1:8" x14ac:dyDescent="0.55000000000000004">
      <c r="A53" s="7" t="s">
        <v>207</v>
      </c>
      <c r="B53" s="3"/>
      <c r="C53" s="3"/>
      <c r="D53" s="3"/>
      <c r="E53" s="8" t="str">
        <f t="shared" si="2"/>
        <v/>
      </c>
      <c r="F53" s="8" t="str">
        <f t="shared" si="3"/>
        <v/>
      </c>
      <c r="G53" s="3"/>
      <c r="H53" s="3"/>
    </row>
    <row r="54" spans="1:8" x14ac:dyDescent="0.55000000000000004">
      <c r="A54" s="7" t="s">
        <v>208</v>
      </c>
      <c r="B54" s="3"/>
      <c r="C54" s="3"/>
      <c r="D54" s="3"/>
      <c r="E54" s="8" t="str">
        <f t="shared" si="2"/>
        <v/>
      </c>
      <c r="F54" s="8" t="str">
        <f t="shared" si="3"/>
        <v/>
      </c>
      <c r="G54" s="3"/>
      <c r="H54" s="3"/>
    </row>
    <row r="57" spans="1:8" ht="15.3" x14ac:dyDescent="0.55000000000000004">
      <c r="A57" s="5" t="s">
        <v>209</v>
      </c>
    </row>
    <row r="58" spans="1:8" x14ac:dyDescent="0.55000000000000004">
      <c r="A58" s="8" t="s">
        <v>210</v>
      </c>
      <c r="B58" s="8" t="s">
        <v>211</v>
      </c>
      <c r="C58" s="8" t="str">
        <f>IF(COUNT(E5:E54)&gt;0,AVERAGE(E5:E54),"-")</f>
        <v>-</v>
      </c>
      <c r="D58" s="8" t="s">
        <v>212</v>
      </c>
      <c r="E58" s="8" t="str">
        <f>IF(C58="-","⚪",IF(C58&lt;=1,"✅","❌"))</f>
        <v>⚪</v>
      </c>
    </row>
    <row r="59" spans="1:8" x14ac:dyDescent="0.55000000000000004">
      <c r="B59" s="8" t="s">
        <v>213</v>
      </c>
      <c r="C59" s="8" t="str">
        <f>IF(COUNT(E5:E54)&gt;0,COUNTIF(E5:E54,"&lt;=1")/COUNT(E5:E54)*100,"-")</f>
        <v>-</v>
      </c>
      <c r="D59" s="8" t="s">
        <v>29</v>
      </c>
      <c r="E59" s="8" t="str">
        <f>IF(C59="-","⚪",IF(C59&gt;=90,"✅","❌"))</f>
        <v>⚪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zoomScaleNormal="100" workbookViewId="0">
      <selection activeCell="C31" sqref="C31"/>
    </sheetView>
  </sheetViews>
  <sheetFormatPr baseColWidth="10" defaultColWidth="8.68359375" defaultRowHeight="14.4" x14ac:dyDescent="0.55000000000000004"/>
  <cols>
    <col min="1" max="1" width="24.83984375" customWidth="1"/>
    <col min="2" max="2" width="31.15625" bestFit="1" customWidth="1"/>
    <col min="3" max="3" width="8.1015625" bestFit="1" customWidth="1"/>
    <col min="4" max="4" width="21.83984375" bestFit="1" customWidth="1"/>
    <col min="5" max="5" width="19.5234375" bestFit="1" customWidth="1"/>
    <col min="6" max="6" width="12.1015625" bestFit="1" customWidth="1"/>
    <col min="7" max="7" width="23.41796875" bestFit="1" customWidth="1"/>
    <col min="8" max="8" width="10.9453125" bestFit="1" customWidth="1"/>
    <col min="9" max="9" width="15" customWidth="1"/>
    <col min="10" max="10" width="12.15625" bestFit="1" customWidth="1"/>
    <col min="11" max="11" width="17.26171875" bestFit="1" customWidth="1"/>
    <col min="12" max="12" width="6.83984375" bestFit="1" customWidth="1"/>
  </cols>
  <sheetData>
    <row r="1" spans="1:12" ht="19.8" x14ac:dyDescent="0.65">
      <c r="A1" s="2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55000000000000004">
      <c r="A3" s="10" t="s">
        <v>10</v>
      </c>
      <c r="B3" s="10" t="s">
        <v>87</v>
      </c>
      <c r="C3" s="10" t="s">
        <v>215</v>
      </c>
      <c r="D3" s="10" t="s">
        <v>216</v>
      </c>
      <c r="E3" s="10" t="s">
        <v>217</v>
      </c>
      <c r="F3" s="10" t="s">
        <v>218</v>
      </c>
      <c r="G3" s="10" t="s">
        <v>219</v>
      </c>
      <c r="H3" s="10" t="s">
        <v>220</v>
      </c>
      <c r="I3" s="10" t="s">
        <v>221</v>
      </c>
      <c r="J3" s="10" t="s">
        <v>222</v>
      </c>
      <c r="K3" s="10" t="s">
        <v>223</v>
      </c>
      <c r="L3" s="10" t="s">
        <v>13</v>
      </c>
    </row>
    <row r="4" spans="1:12" x14ac:dyDescent="0.55000000000000004">
      <c r="A4" s="7" t="s">
        <v>224</v>
      </c>
      <c r="B4" s="3"/>
      <c r="C4" s="3"/>
      <c r="D4" s="3"/>
      <c r="E4" s="3"/>
      <c r="F4" s="8" t="str">
        <f t="shared" ref="F4:F23" si="0">IF(OR(D4="",E4=""),"",E4-D4)</f>
        <v/>
      </c>
      <c r="G4" s="3"/>
      <c r="H4" s="3"/>
      <c r="I4" s="8" t="str">
        <f t="shared" ref="I4:I23" si="1">IF(OR(G4="",H4=""),"",H4-G4)</f>
        <v/>
      </c>
      <c r="J4" s="8" t="str">
        <f t="shared" ref="J4:J23" si="2">IF(I4="","",IF(I4&lt;=30,"✅","❌"))</f>
        <v/>
      </c>
      <c r="K4" s="3"/>
      <c r="L4" s="3"/>
    </row>
    <row r="5" spans="1:12" x14ac:dyDescent="0.55000000000000004">
      <c r="A5" s="7" t="s">
        <v>225</v>
      </c>
      <c r="B5" s="3"/>
      <c r="C5" s="3"/>
      <c r="D5" s="3"/>
      <c r="E5" s="3"/>
      <c r="F5" s="8" t="str">
        <f t="shared" si="0"/>
        <v/>
      </c>
      <c r="G5" s="3"/>
      <c r="H5" s="3"/>
      <c r="I5" s="8" t="str">
        <f t="shared" si="1"/>
        <v/>
      </c>
      <c r="J5" s="8" t="str">
        <f t="shared" si="2"/>
        <v/>
      </c>
      <c r="K5" s="3"/>
      <c r="L5" s="3"/>
    </row>
    <row r="6" spans="1:12" x14ac:dyDescent="0.55000000000000004">
      <c r="A6" s="7" t="s">
        <v>226</v>
      </c>
      <c r="B6" s="3"/>
      <c r="C6" s="3"/>
      <c r="D6" s="3"/>
      <c r="E6" s="3"/>
      <c r="F6" s="8" t="str">
        <f t="shared" si="0"/>
        <v/>
      </c>
      <c r="G6" s="3"/>
      <c r="H6" s="3"/>
      <c r="I6" s="8" t="str">
        <f t="shared" si="1"/>
        <v/>
      </c>
      <c r="J6" s="8" t="str">
        <f t="shared" si="2"/>
        <v/>
      </c>
      <c r="K6" s="3"/>
      <c r="L6" s="3"/>
    </row>
    <row r="7" spans="1:12" x14ac:dyDescent="0.55000000000000004">
      <c r="A7" s="7" t="s">
        <v>227</v>
      </c>
      <c r="B7" s="3"/>
      <c r="C7" s="3"/>
      <c r="D7" s="3"/>
      <c r="E7" s="3"/>
      <c r="F7" s="8" t="str">
        <f t="shared" si="0"/>
        <v/>
      </c>
      <c r="G7" s="3"/>
      <c r="H7" s="3"/>
      <c r="I7" s="8" t="str">
        <f t="shared" si="1"/>
        <v/>
      </c>
      <c r="J7" s="8" t="str">
        <f t="shared" si="2"/>
        <v/>
      </c>
      <c r="K7" s="3"/>
      <c r="L7" s="3"/>
    </row>
    <row r="8" spans="1:12" x14ac:dyDescent="0.55000000000000004">
      <c r="A8" s="7" t="s">
        <v>228</v>
      </c>
      <c r="B8" s="3"/>
      <c r="C8" s="3"/>
      <c r="D8" s="3"/>
      <c r="E8" s="3"/>
      <c r="F8" s="8" t="str">
        <f t="shared" si="0"/>
        <v/>
      </c>
      <c r="G8" s="3"/>
      <c r="H8" s="3"/>
      <c r="I8" s="8" t="str">
        <f t="shared" si="1"/>
        <v/>
      </c>
      <c r="J8" s="8" t="str">
        <f t="shared" si="2"/>
        <v/>
      </c>
      <c r="K8" s="3"/>
      <c r="L8" s="3"/>
    </row>
    <row r="9" spans="1:12" x14ac:dyDescent="0.55000000000000004">
      <c r="A9" s="7" t="s">
        <v>229</v>
      </c>
      <c r="B9" s="3"/>
      <c r="C9" s="3"/>
      <c r="D9" s="3"/>
      <c r="E9" s="3"/>
      <c r="F9" s="8" t="str">
        <f t="shared" si="0"/>
        <v/>
      </c>
      <c r="G9" s="3"/>
      <c r="H9" s="3"/>
      <c r="I9" s="8" t="str">
        <f t="shared" si="1"/>
        <v/>
      </c>
      <c r="J9" s="8" t="str">
        <f t="shared" si="2"/>
        <v/>
      </c>
      <c r="K9" s="3"/>
      <c r="L9" s="3"/>
    </row>
    <row r="10" spans="1:12" x14ac:dyDescent="0.55000000000000004">
      <c r="A10" s="7" t="s">
        <v>230</v>
      </c>
      <c r="B10" s="3"/>
      <c r="C10" s="3"/>
      <c r="D10" s="3"/>
      <c r="E10" s="3"/>
      <c r="F10" s="8" t="str">
        <f t="shared" si="0"/>
        <v/>
      </c>
      <c r="G10" s="3"/>
      <c r="H10" s="3"/>
      <c r="I10" s="8" t="str">
        <f t="shared" si="1"/>
        <v/>
      </c>
      <c r="J10" s="8" t="str">
        <f t="shared" si="2"/>
        <v/>
      </c>
      <c r="K10" s="3"/>
      <c r="L10" s="3"/>
    </row>
    <row r="11" spans="1:12" x14ac:dyDescent="0.55000000000000004">
      <c r="A11" s="7" t="s">
        <v>231</v>
      </c>
      <c r="B11" s="3"/>
      <c r="C11" s="3"/>
      <c r="D11" s="3"/>
      <c r="E11" s="3"/>
      <c r="F11" s="8" t="str">
        <f t="shared" si="0"/>
        <v/>
      </c>
      <c r="G11" s="3"/>
      <c r="H11" s="3"/>
      <c r="I11" s="8" t="str">
        <f t="shared" si="1"/>
        <v/>
      </c>
      <c r="J11" s="8" t="str">
        <f t="shared" si="2"/>
        <v/>
      </c>
      <c r="K11" s="3"/>
      <c r="L11" s="3"/>
    </row>
    <row r="12" spans="1:12" x14ac:dyDescent="0.55000000000000004">
      <c r="A12" s="7" t="s">
        <v>232</v>
      </c>
      <c r="B12" s="3"/>
      <c r="C12" s="3"/>
      <c r="D12" s="3"/>
      <c r="E12" s="3"/>
      <c r="F12" s="8" t="str">
        <f t="shared" si="0"/>
        <v/>
      </c>
      <c r="G12" s="3"/>
      <c r="H12" s="3"/>
      <c r="I12" s="8" t="str">
        <f t="shared" si="1"/>
        <v/>
      </c>
      <c r="J12" s="8" t="str">
        <f t="shared" si="2"/>
        <v/>
      </c>
      <c r="K12" s="3"/>
      <c r="L12" s="3"/>
    </row>
    <row r="13" spans="1:12" x14ac:dyDescent="0.55000000000000004">
      <c r="A13" s="7" t="s">
        <v>233</v>
      </c>
      <c r="B13" s="3"/>
      <c r="C13" s="3"/>
      <c r="D13" s="3"/>
      <c r="E13" s="3"/>
      <c r="F13" s="8" t="str">
        <f t="shared" si="0"/>
        <v/>
      </c>
      <c r="G13" s="3"/>
      <c r="H13" s="3"/>
      <c r="I13" s="8" t="str">
        <f t="shared" si="1"/>
        <v/>
      </c>
      <c r="J13" s="8" t="str">
        <f t="shared" si="2"/>
        <v/>
      </c>
      <c r="K13" s="3"/>
      <c r="L13" s="3"/>
    </row>
    <row r="14" spans="1:12" x14ac:dyDescent="0.55000000000000004">
      <c r="A14" s="7" t="s">
        <v>234</v>
      </c>
      <c r="B14" s="3"/>
      <c r="C14" s="3"/>
      <c r="D14" s="3"/>
      <c r="E14" s="3"/>
      <c r="F14" s="8" t="str">
        <f t="shared" si="0"/>
        <v/>
      </c>
      <c r="G14" s="3"/>
      <c r="H14" s="3"/>
      <c r="I14" s="8" t="str">
        <f t="shared" si="1"/>
        <v/>
      </c>
      <c r="J14" s="8" t="str">
        <f t="shared" si="2"/>
        <v/>
      </c>
      <c r="K14" s="3"/>
      <c r="L14" s="3"/>
    </row>
    <row r="15" spans="1:12" x14ac:dyDescent="0.55000000000000004">
      <c r="A15" s="7" t="s">
        <v>235</v>
      </c>
      <c r="B15" s="3"/>
      <c r="C15" s="3"/>
      <c r="D15" s="3"/>
      <c r="E15" s="3"/>
      <c r="F15" s="8" t="str">
        <f t="shared" si="0"/>
        <v/>
      </c>
      <c r="G15" s="3"/>
      <c r="H15" s="3"/>
      <c r="I15" s="8" t="str">
        <f t="shared" si="1"/>
        <v/>
      </c>
      <c r="J15" s="8" t="str">
        <f t="shared" si="2"/>
        <v/>
      </c>
      <c r="K15" s="3"/>
      <c r="L15" s="3"/>
    </row>
    <row r="16" spans="1:12" x14ac:dyDescent="0.55000000000000004">
      <c r="A16" s="7" t="s">
        <v>236</v>
      </c>
      <c r="B16" s="3"/>
      <c r="C16" s="3"/>
      <c r="D16" s="3"/>
      <c r="E16" s="3"/>
      <c r="F16" s="8" t="str">
        <f t="shared" si="0"/>
        <v/>
      </c>
      <c r="G16" s="3"/>
      <c r="H16" s="3"/>
      <c r="I16" s="8" t="str">
        <f t="shared" si="1"/>
        <v/>
      </c>
      <c r="J16" s="8" t="str">
        <f t="shared" si="2"/>
        <v/>
      </c>
      <c r="K16" s="3"/>
      <c r="L16" s="3"/>
    </row>
    <row r="17" spans="1:12" x14ac:dyDescent="0.55000000000000004">
      <c r="A17" s="7" t="s">
        <v>237</v>
      </c>
      <c r="B17" s="3"/>
      <c r="C17" s="3"/>
      <c r="D17" s="3"/>
      <c r="E17" s="3"/>
      <c r="F17" s="8" t="str">
        <f t="shared" si="0"/>
        <v/>
      </c>
      <c r="G17" s="3"/>
      <c r="H17" s="3"/>
      <c r="I17" s="8" t="str">
        <f t="shared" si="1"/>
        <v/>
      </c>
      <c r="J17" s="8" t="str">
        <f t="shared" si="2"/>
        <v/>
      </c>
      <c r="K17" s="3"/>
      <c r="L17" s="3"/>
    </row>
    <row r="18" spans="1:12" x14ac:dyDescent="0.55000000000000004">
      <c r="A18" s="7" t="s">
        <v>238</v>
      </c>
      <c r="B18" s="3"/>
      <c r="C18" s="3"/>
      <c r="D18" s="3"/>
      <c r="E18" s="3"/>
      <c r="F18" s="8" t="str">
        <f t="shared" si="0"/>
        <v/>
      </c>
      <c r="G18" s="3"/>
      <c r="H18" s="3"/>
      <c r="I18" s="8" t="str">
        <f t="shared" si="1"/>
        <v/>
      </c>
      <c r="J18" s="8" t="str">
        <f t="shared" si="2"/>
        <v/>
      </c>
      <c r="K18" s="3"/>
      <c r="L18" s="3"/>
    </row>
    <row r="19" spans="1:12" x14ac:dyDescent="0.55000000000000004">
      <c r="A19" s="7" t="s">
        <v>239</v>
      </c>
      <c r="B19" s="3"/>
      <c r="C19" s="3"/>
      <c r="D19" s="3"/>
      <c r="E19" s="3"/>
      <c r="F19" s="8" t="str">
        <f t="shared" si="0"/>
        <v/>
      </c>
      <c r="G19" s="3"/>
      <c r="H19" s="3"/>
      <c r="I19" s="8" t="str">
        <f t="shared" si="1"/>
        <v/>
      </c>
      <c r="J19" s="8" t="str">
        <f t="shared" si="2"/>
        <v/>
      </c>
      <c r="K19" s="3"/>
      <c r="L19" s="3"/>
    </row>
    <row r="20" spans="1:12" x14ac:dyDescent="0.55000000000000004">
      <c r="A20" s="7" t="s">
        <v>240</v>
      </c>
      <c r="B20" s="3"/>
      <c r="C20" s="3"/>
      <c r="D20" s="3"/>
      <c r="E20" s="3"/>
      <c r="F20" s="8" t="str">
        <f t="shared" si="0"/>
        <v/>
      </c>
      <c r="G20" s="3"/>
      <c r="H20" s="3"/>
      <c r="I20" s="8" t="str">
        <f t="shared" si="1"/>
        <v/>
      </c>
      <c r="J20" s="8" t="str">
        <f t="shared" si="2"/>
        <v/>
      </c>
      <c r="K20" s="3"/>
      <c r="L20" s="3"/>
    </row>
    <row r="21" spans="1:12" x14ac:dyDescent="0.55000000000000004">
      <c r="A21" s="7" t="s">
        <v>241</v>
      </c>
      <c r="B21" s="3"/>
      <c r="C21" s="3"/>
      <c r="D21" s="3"/>
      <c r="E21" s="3"/>
      <c r="F21" s="8" t="str">
        <f t="shared" si="0"/>
        <v/>
      </c>
      <c r="G21" s="3"/>
      <c r="H21" s="3"/>
      <c r="I21" s="8" t="str">
        <f t="shared" si="1"/>
        <v/>
      </c>
      <c r="J21" s="8" t="str">
        <f t="shared" si="2"/>
        <v/>
      </c>
      <c r="K21" s="3"/>
      <c r="L21" s="3"/>
    </row>
    <row r="22" spans="1:12" x14ac:dyDescent="0.55000000000000004">
      <c r="A22" s="7" t="s">
        <v>242</v>
      </c>
      <c r="B22" s="3"/>
      <c r="C22" s="3"/>
      <c r="D22" s="3"/>
      <c r="E22" s="3"/>
      <c r="F22" s="8" t="str">
        <f t="shared" si="0"/>
        <v/>
      </c>
      <c r="G22" s="3"/>
      <c r="H22" s="3"/>
      <c r="I22" s="8" t="str">
        <f t="shared" si="1"/>
        <v/>
      </c>
      <c r="J22" s="8" t="str">
        <f t="shared" si="2"/>
        <v/>
      </c>
      <c r="K22" s="3"/>
      <c r="L22" s="3"/>
    </row>
    <row r="23" spans="1:12" x14ac:dyDescent="0.55000000000000004">
      <c r="A23" s="7" t="s">
        <v>243</v>
      </c>
      <c r="B23" s="3"/>
      <c r="C23" s="3"/>
      <c r="D23" s="3"/>
      <c r="E23" s="3"/>
      <c r="F23" s="8" t="str">
        <f t="shared" si="0"/>
        <v/>
      </c>
      <c r="G23" s="3"/>
      <c r="H23" s="3"/>
      <c r="I23" s="8" t="str">
        <f t="shared" si="1"/>
        <v/>
      </c>
      <c r="J23" s="8" t="str">
        <f t="shared" si="2"/>
        <v/>
      </c>
      <c r="K23" s="3"/>
      <c r="L23" s="3"/>
    </row>
    <row r="26" spans="1:12" ht="15.3" x14ac:dyDescent="0.55000000000000004">
      <c r="A26" s="5" t="s">
        <v>244</v>
      </c>
    </row>
    <row r="27" spans="1:12" x14ac:dyDescent="0.55000000000000004">
      <c r="A27" s="8" t="s">
        <v>245</v>
      </c>
      <c r="B27" s="8" t="s">
        <v>246</v>
      </c>
      <c r="C27" s="8" t="str">
        <f>IF(COUNT(I4:I23)&gt;0,AVERAGE(I4:I23),"-")</f>
        <v>-</v>
      </c>
      <c r="D27" s="8" t="s">
        <v>247</v>
      </c>
      <c r="E27" s="8" t="str">
        <f>IF(C27="-","⚪",IF(C27&lt;=30,"✅","❌"))</f>
        <v>⚪</v>
      </c>
    </row>
    <row r="28" spans="1:12" x14ac:dyDescent="0.55000000000000004">
      <c r="A28" s="8" t="s">
        <v>248</v>
      </c>
      <c r="B28" s="8" t="s">
        <v>249</v>
      </c>
      <c r="C28" s="8" t="str">
        <f>IF(COUNT(I4:I23)&gt;0,COUNTIF(I4:I23,"&lt;=30")/COUNT(I4:I23)*100,"-")</f>
        <v>-</v>
      </c>
      <c r="D28" s="8" t="s">
        <v>25</v>
      </c>
      <c r="E28" s="8" t="str">
        <f>IF(C28="-","⚪",IF(C28&gt;=85,"✅","❌"))</f>
        <v>⚪</v>
      </c>
    </row>
    <row r="29" spans="1:12" x14ac:dyDescent="0.55000000000000004">
      <c r="A29" s="8" t="s">
        <v>250</v>
      </c>
      <c r="B29" s="8" t="s">
        <v>251</v>
      </c>
      <c r="C29" s="8" t="str">
        <f>IF(COUNTA(K4:K23)&gt;0,COUNTIF(K4:K23,"No")/COUNTA(K4:K23)*100,"-")</f>
        <v>-</v>
      </c>
      <c r="D29" s="8" t="s">
        <v>29</v>
      </c>
      <c r="E29" s="8" t="str">
        <f>IF(C29="-","⚪",IF(C29&gt;=90,"✅","❌"))</f>
        <v>⚪</v>
      </c>
    </row>
    <row r="30" spans="1:12" x14ac:dyDescent="0.55000000000000004">
      <c r="A30" s="8" t="s">
        <v>252</v>
      </c>
      <c r="B30" s="8" t="s">
        <v>253</v>
      </c>
      <c r="C30" s="8" t="str">
        <f>IF(COUNT(F4:F23)&gt;0,AVERAGE(F4:F23),"-")</f>
        <v>-</v>
      </c>
      <c r="D30" s="8" t="s">
        <v>254</v>
      </c>
      <c r="E30" s="8" t="str">
        <f>IF(C30="-","⚪",IF(C30&lt;=45,"✅","❌"))</f>
        <v>⚪</v>
      </c>
    </row>
    <row r="31" spans="1:12" x14ac:dyDescent="0.55000000000000004">
      <c r="A31" s="8" t="s">
        <v>255</v>
      </c>
      <c r="B31" s="8" t="s">
        <v>256</v>
      </c>
      <c r="C31" s="8">
        <f>COUNTIF(L4:L23,"&lt;&gt;FPFV Logrado")-COUNTIF(L4:L23,"Suspendido")</f>
        <v>20</v>
      </c>
      <c r="D31" s="8" t="s">
        <v>257</v>
      </c>
      <c r="E31" s="8" t="s">
        <v>258</v>
      </c>
    </row>
    <row r="32" spans="1:12" x14ac:dyDescent="0.55000000000000004">
      <c r="A32" s="8" t="s">
        <v>259</v>
      </c>
      <c r="B32" s="8" t="s">
        <v>260</v>
      </c>
      <c r="C32" s="8">
        <f>COUNTIF(L4:L23,"Aprobación Pendiente")</f>
        <v>0</v>
      </c>
      <c r="D32" s="8" t="s">
        <v>257</v>
      </c>
      <c r="E32" s="8" t="s">
        <v>258</v>
      </c>
    </row>
  </sheetData>
  <mergeCells count="1">
    <mergeCell ref="A1:L1"/>
  </mergeCells>
  <dataValidations count="2">
    <dataValidation type="list" allowBlank="1" sqref="K4:K23" xr:uid="{00000000-0002-0000-0300-000000000000}">
      <formula1>"No,Sí"</formula1>
      <formula2>0</formula2>
    </dataValidation>
    <dataValidation type="list" allowBlank="1" sqref="L4:L23" xr:uid="{00000000-0002-0000-0300-000001000000}">
      <formula1>"En Sometimiento,Aprobación Pendiente,Aprobado,En Activación,FPFV Logrado,Suspendido"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zoomScaleNormal="100" workbookViewId="0">
      <selection activeCell="D60" sqref="D60"/>
    </sheetView>
  </sheetViews>
  <sheetFormatPr baseColWidth="10" defaultColWidth="8.68359375" defaultRowHeight="14.4" x14ac:dyDescent="0.55000000000000004"/>
  <cols>
    <col min="1" max="1" width="26.62890625" bestFit="1" customWidth="1"/>
    <col min="2" max="2" width="24.83984375" bestFit="1" customWidth="1"/>
    <col min="3" max="3" width="7.578125" bestFit="1" customWidth="1"/>
    <col min="4" max="4" width="6.89453125" bestFit="1" customWidth="1"/>
    <col min="5" max="5" width="11.47265625" bestFit="1" customWidth="1"/>
    <col min="6" max="6" width="15.68359375" bestFit="1" customWidth="1"/>
    <col min="7" max="7" width="21.26171875" bestFit="1" customWidth="1"/>
    <col min="8" max="8" width="9.734375" bestFit="1" customWidth="1"/>
  </cols>
  <sheetData>
    <row r="1" spans="1:8" ht="19.8" x14ac:dyDescent="0.65">
      <c r="A1" s="2" t="s">
        <v>261</v>
      </c>
      <c r="B1" s="2"/>
      <c r="C1" s="2"/>
      <c r="D1" s="2"/>
      <c r="E1" s="2"/>
      <c r="F1" s="2"/>
      <c r="G1" s="2"/>
      <c r="H1" s="2"/>
    </row>
    <row r="3" spans="1:8" x14ac:dyDescent="0.55000000000000004">
      <c r="A3" s="11" t="s">
        <v>10</v>
      </c>
      <c r="B3" s="11" t="s">
        <v>262</v>
      </c>
      <c r="C3" s="11" t="s">
        <v>87</v>
      </c>
      <c r="D3" s="11" t="s">
        <v>263</v>
      </c>
      <c r="E3" s="11" t="s">
        <v>89</v>
      </c>
      <c r="F3" s="11" t="s">
        <v>264</v>
      </c>
      <c r="G3" s="11" t="s">
        <v>265</v>
      </c>
      <c r="H3" s="11" t="s">
        <v>156</v>
      </c>
    </row>
    <row r="4" spans="1:8" x14ac:dyDescent="0.55000000000000004">
      <c r="A4" s="7" t="s">
        <v>266</v>
      </c>
      <c r="B4" s="3"/>
      <c r="C4" s="3"/>
      <c r="D4" s="3"/>
      <c r="E4" s="3"/>
      <c r="F4" s="3"/>
      <c r="G4" s="8" t="str">
        <f t="shared" ref="G4:G35" si="0">IF(OR(B4="",F4=""),"",(F4-B4)*24)</f>
        <v/>
      </c>
      <c r="H4" s="8" t="str">
        <f t="shared" ref="H4:H35" si="1">IF(G4="","",IF(G4&lt;=48,"✅","❌"))</f>
        <v/>
      </c>
    </row>
    <row r="5" spans="1:8" x14ac:dyDescent="0.55000000000000004">
      <c r="A5" s="7" t="s">
        <v>267</v>
      </c>
      <c r="B5" s="3"/>
      <c r="C5" s="3"/>
      <c r="D5" s="3"/>
      <c r="E5" s="3"/>
      <c r="F5" s="3"/>
      <c r="G5" s="8" t="str">
        <f t="shared" si="0"/>
        <v/>
      </c>
      <c r="H5" s="8" t="str">
        <f t="shared" si="1"/>
        <v/>
      </c>
    </row>
    <row r="6" spans="1:8" x14ac:dyDescent="0.55000000000000004">
      <c r="A6" s="7" t="s">
        <v>268</v>
      </c>
      <c r="B6" s="3"/>
      <c r="C6" s="3"/>
      <c r="D6" s="3"/>
      <c r="E6" s="3"/>
      <c r="F6" s="3"/>
      <c r="G6" s="8" t="str">
        <f t="shared" si="0"/>
        <v/>
      </c>
      <c r="H6" s="8" t="str">
        <f t="shared" si="1"/>
        <v/>
      </c>
    </row>
    <row r="7" spans="1:8" x14ac:dyDescent="0.55000000000000004">
      <c r="A7" s="7" t="s">
        <v>269</v>
      </c>
      <c r="B7" s="3"/>
      <c r="C7" s="3"/>
      <c r="D7" s="3"/>
      <c r="E7" s="3"/>
      <c r="F7" s="3"/>
      <c r="G7" s="8" t="str">
        <f t="shared" si="0"/>
        <v/>
      </c>
      <c r="H7" s="8" t="str">
        <f t="shared" si="1"/>
        <v/>
      </c>
    </row>
    <row r="8" spans="1:8" x14ac:dyDescent="0.55000000000000004">
      <c r="A8" s="7" t="s">
        <v>270</v>
      </c>
      <c r="B8" s="3"/>
      <c r="C8" s="3"/>
      <c r="D8" s="3"/>
      <c r="E8" s="3"/>
      <c r="F8" s="3"/>
      <c r="G8" s="8" t="str">
        <f t="shared" si="0"/>
        <v/>
      </c>
      <c r="H8" s="8" t="str">
        <f t="shared" si="1"/>
        <v/>
      </c>
    </row>
    <row r="9" spans="1:8" x14ac:dyDescent="0.55000000000000004">
      <c r="A9" s="7" t="s">
        <v>271</v>
      </c>
      <c r="B9" s="3"/>
      <c r="C9" s="3"/>
      <c r="D9" s="3"/>
      <c r="E9" s="3"/>
      <c r="F9" s="3"/>
      <c r="G9" s="8" t="str">
        <f t="shared" si="0"/>
        <v/>
      </c>
      <c r="H9" s="8" t="str">
        <f t="shared" si="1"/>
        <v/>
      </c>
    </row>
    <row r="10" spans="1:8" x14ac:dyDescent="0.55000000000000004">
      <c r="A10" s="7" t="s">
        <v>272</v>
      </c>
      <c r="B10" s="3"/>
      <c r="C10" s="3"/>
      <c r="D10" s="3"/>
      <c r="E10" s="3"/>
      <c r="F10" s="3"/>
      <c r="G10" s="8" t="str">
        <f t="shared" si="0"/>
        <v/>
      </c>
      <c r="H10" s="8" t="str">
        <f t="shared" si="1"/>
        <v/>
      </c>
    </row>
    <row r="11" spans="1:8" x14ac:dyDescent="0.55000000000000004">
      <c r="A11" s="7" t="s">
        <v>273</v>
      </c>
      <c r="B11" s="3"/>
      <c r="C11" s="3"/>
      <c r="D11" s="3"/>
      <c r="E11" s="3"/>
      <c r="F11" s="3"/>
      <c r="G11" s="8" t="str">
        <f t="shared" si="0"/>
        <v/>
      </c>
      <c r="H11" s="8" t="str">
        <f t="shared" si="1"/>
        <v/>
      </c>
    </row>
    <row r="12" spans="1:8" x14ac:dyDescent="0.55000000000000004">
      <c r="A12" s="7" t="s">
        <v>274</v>
      </c>
      <c r="B12" s="3"/>
      <c r="C12" s="3"/>
      <c r="D12" s="3"/>
      <c r="E12" s="3"/>
      <c r="F12" s="3"/>
      <c r="G12" s="8" t="str">
        <f t="shared" si="0"/>
        <v/>
      </c>
      <c r="H12" s="8" t="str">
        <f t="shared" si="1"/>
        <v/>
      </c>
    </row>
    <row r="13" spans="1:8" x14ac:dyDescent="0.55000000000000004">
      <c r="A13" s="7" t="s">
        <v>275</v>
      </c>
      <c r="B13" s="3"/>
      <c r="C13" s="3"/>
      <c r="D13" s="3"/>
      <c r="E13" s="3"/>
      <c r="F13" s="3"/>
      <c r="G13" s="8" t="str">
        <f t="shared" si="0"/>
        <v/>
      </c>
      <c r="H13" s="8" t="str">
        <f t="shared" si="1"/>
        <v/>
      </c>
    </row>
    <row r="14" spans="1:8" x14ac:dyDescent="0.55000000000000004">
      <c r="A14" s="7" t="s">
        <v>276</v>
      </c>
      <c r="B14" s="3"/>
      <c r="C14" s="3"/>
      <c r="D14" s="3"/>
      <c r="E14" s="3"/>
      <c r="F14" s="3"/>
      <c r="G14" s="8" t="str">
        <f t="shared" si="0"/>
        <v/>
      </c>
      <c r="H14" s="8" t="str">
        <f t="shared" si="1"/>
        <v/>
      </c>
    </row>
    <row r="15" spans="1:8" x14ac:dyDescent="0.55000000000000004">
      <c r="A15" s="7" t="s">
        <v>277</v>
      </c>
      <c r="B15" s="3"/>
      <c r="C15" s="3"/>
      <c r="D15" s="3"/>
      <c r="E15" s="3"/>
      <c r="F15" s="3"/>
      <c r="G15" s="8" t="str">
        <f t="shared" si="0"/>
        <v/>
      </c>
      <c r="H15" s="8" t="str">
        <f t="shared" si="1"/>
        <v/>
      </c>
    </row>
    <row r="16" spans="1:8" x14ac:dyDescent="0.55000000000000004">
      <c r="A16" s="7" t="s">
        <v>278</v>
      </c>
      <c r="B16" s="3"/>
      <c r="C16" s="3"/>
      <c r="D16" s="3"/>
      <c r="E16" s="3"/>
      <c r="F16" s="3"/>
      <c r="G16" s="8" t="str">
        <f t="shared" si="0"/>
        <v/>
      </c>
      <c r="H16" s="8" t="str">
        <f t="shared" si="1"/>
        <v/>
      </c>
    </row>
    <row r="17" spans="1:8" x14ac:dyDescent="0.55000000000000004">
      <c r="A17" s="7" t="s">
        <v>279</v>
      </c>
      <c r="B17" s="3"/>
      <c r="C17" s="3"/>
      <c r="D17" s="3"/>
      <c r="E17" s="3"/>
      <c r="F17" s="3"/>
      <c r="G17" s="8" t="str">
        <f t="shared" si="0"/>
        <v/>
      </c>
      <c r="H17" s="8" t="str">
        <f t="shared" si="1"/>
        <v/>
      </c>
    </row>
    <row r="18" spans="1:8" x14ac:dyDescent="0.55000000000000004">
      <c r="A18" s="7" t="s">
        <v>280</v>
      </c>
      <c r="B18" s="3"/>
      <c r="C18" s="3"/>
      <c r="D18" s="3"/>
      <c r="E18" s="3"/>
      <c r="F18" s="3"/>
      <c r="G18" s="8" t="str">
        <f t="shared" si="0"/>
        <v/>
      </c>
      <c r="H18" s="8" t="str">
        <f t="shared" si="1"/>
        <v/>
      </c>
    </row>
    <row r="19" spans="1:8" x14ac:dyDescent="0.55000000000000004">
      <c r="A19" s="7" t="s">
        <v>281</v>
      </c>
      <c r="B19" s="3"/>
      <c r="C19" s="3"/>
      <c r="D19" s="3"/>
      <c r="E19" s="3"/>
      <c r="F19" s="3"/>
      <c r="G19" s="8" t="str">
        <f t="shared" si="0"/>
        <v/>
      </c>
      <c r="H19" s="8" t="str">
        <f t="shared" si="1"/>
        <v/>
      </c>
    </row>
    <row r="20" spans="1:8" x14ac:dyDescent="0.55000000000000004">
      <c r="A20" s="7" t="s">
        <v>282</v>
      </c>
      <c r="B20" s="3"/>
      <c r="C20" s="3"/>
      <c r="D20" s="3"/>
      <c r="E20" s="3"/>
      <c r="F20" s="3"/>
      <c r="G20" s="8" t="str">
        <f t="shared" si="0"/>
        <v/>
      </c>
      <c r="H20" s="8" t="str">
        <f t="shared" si="1"/>
        <v/>
      </c>
    </row>
    <row r="21" spans="1:8" x14ac:dyDescent="0.55000000000000004">
      <c r="A21" s="7" t="s">
        <v>283</v>
      </c>
      <c r="B21" s="3"/>
      <c r="C21" s="3"/>
      <c r="D21" s="3"/>
      <c r="E21" s="3"/>
      <c r="F21" s="3"/>
      <c r="G21" s="8" t="str">
        <f t="shared" si="0"/>
        <v/>
      </c>
      <c r="H21" s="8" t="str">
        <f t="shared" si="1"/>
        <v/>
      </c>
    </row>
    <row r="22" spans="1:8" x14ac:dyDescent="0.55000000000000004">
      <c r="A22" s="7" t="s">
        <v>284</v>
      </c>
      <c r="B22" s="3"/>
      <c r="C22" s="3"/>
      <c r="D22" s="3"/>
      <c r="E22" s="3"/>
      <c r="F22" s="3"/>
      <c r="G22" s="8" t="str">
        <f t="shared" si="0"/>
        <v/>
      </c>
      <c r="H22" s="8" t="str">
        <f t="shared" si="1"/>
        <v/>
      </c>
    </row>
    <row r="23" spans="1:8" x14ac:dyDescent="0.55000000000000004">
      <c r="A23" s="7" t="s">
        <v>285</v>
      </c>
      <c r="B23" s="3"/>
      <c r="C23" s="3"/>
      <c r="D23" s="3"/>
      <c r="E23" s="3"/>
      <c r="F23" s="3"/>
      <c r="G23" s="8" t="str">
        <f t="shared" si="0"/>
        <v/>
      </c>
      <c r="H23" s="8" t="str">
        <f t="shared" si="1"/>
        <v/>
      </c>
    </row>
    <row r="24" spans="1:8" x14ac:dyDescent="0.55000000000000004">
      <c r="A24" s="7" t="s">
        <v>286</v>
      </c>
      <c r="B24" s="3"/>
      <c r="C24" s="3"/>
      <c r="D24" s="3"/>
      <c r="E24" s="3"/>
      <c r="F24" s="3"/>
      <c r="G24" s="8" t="str">
        <f t="shared" si="0"/>
        <v/>
      </c>
      <c r="H24" s="8" t="str">
        <f t="shared" si="1"/>
        <v/>
      </c>
    </row>
    <row r="25" spans="1:8" x14ac:dyDescent="0.55000000000000004">
      <c r="A25" s="7" t="s">
        <v>287</v>
      </c>
      <c r="B25" s="3"/>
      <c r="C25" s="3"/>
      <c r="D25" s="3"/>
      <c r="E25" s="3"/>
      <c r="F25" s="3"/>
      <c r="G25" s="8" t="str">
        <f t="shared" si="0"/>
        <v/>
      </c>
      <c r="H25" s="8" t="str">
        <f t="shared" si="1"/>
        <v/>
      </c>
    </row>
    <row r="26" spans="1:8" x14ac:dyDescent="0.55000000000000004">
      <c r="A26" s="7" t="s">
        <v>288</v>
      </c>
      <c r="B26" s="3"/>
      <c r="C26" s="3"/>
      <c r="D26" s="3"/>
      <c r="E26" s="3"/>
      <c r="F26" s="3"/>
      <c r="G26" s="8" t="str">
        <f t="shared" si="0"/>
        <v/>
      </c>
      <c r="H26" s="8" t="str">
        <f t="shared" si="1"/>
        <v/>
      </c>
    </row>
    <row r="27" spans="1:8" x14ac:dyDescent="0.55000000000000004">
      <c r="A27" s="7" t="s">
        <v>289</v>
      </c>
      <c r="B27" s="3"/>
      <c r="C27" s="3"/>
      <c r="D27" s="3"/>
      <c r="E27" s="3"/>
      <c r="F27" s="3"/>
      <c r="G27" s="8" t="str">
        <f t="shared" si="0"/>
        <v/>
      </c>
      <c r="H27" s="8" t="str">
        <f t="shared" si="1"/>
        <v/>
      </c>
    </row>
    <row r="28" spans="1:8" x14ac:dyDescent="0.55000000000000004">
      <c r="A28" s="7" t="s">
        <v>290</v>
      </c>
      <c r="B28" s="3"/>
      <c r="C28" s="3"/>
      <c r="D28" s="3"/>
      <c r="E28" s="3"/>
      <c r="F28" s="3"/>
      <c r="G28" s="8" t="str">
        <f t="shared" si="0"/>
        <v/>
      </c>
      <c r="H28" s="8" t="str">
        <f t="shared" si="1"/>
        <v/>
      </c>
    </row>
    <row r="29" spans="1:8" x14ac:dyDescent="0.55000000000000004">
      <c r="A29" s="7" t="s">
        <v>291</v>
      </c>
      <c r="B29" s="3"/>
      <c r="C29" s="3"/>
      <c r="D29" s="3"/>
      <c r="E29" s="3"/>
      <c r="F29" s="3"/>
      <c r="G29" s="8" t="str">
        <f t="shared" si="0"/>
        <v/>
      </c>
      <c r="H29" s="8" t="str">
        <f t="shared" si="1"/>
        <v/>
      </c>
    </row>
    <row r="30" spans="1:8" x14ac:dyDescent="0.55000000000000004">
      <c r="A30" s="7" t="s">
        <v>292</v>
      </c>
      <c r="B30" s="3"/>
      <c r="C30" s="3"/>
      <c r="D30" s="3"/>
      <c r="E30" s="3"/>
      <c r="F30" s="3"/>
      <c r="G30" s="8" t="str">
        <f t="shared" si="0"/>
        <v/>
      </c>
      <c r="H30" s="8" t="str">
        <f t="shared" si="1"/>
        <v/>
      </c>
    </row>
    <row r="31" spans="1:8" x14ac:dyDescent="0.55000000000000004">
      <c r="A31" s="7" t="s">
        <v>293</v>
      </c>
      <c r="B31" s="3"/>
      <c r="C31" s="3"/>
      <c r="D31" s="3"/>
      <c r="E31" s="3"/>
      <c r="F31" s="3"/>
      <c r="G31" s="8" t="str">
        <f t="shared" si="0"/>
        <v/>
      </c>
      <c r="H31" s="8" t="str">
        <f t="shared" si="1"/>
        <v/>
      </c>
    </row>
    <row r="32" spans="1:8" x14ac:dyDescent="0.55000000000000004">
      <c r="A32" s="7" t="s">
        <v>294</v>
      </c>
      <c r="B32" s="3"/>
      <c r="C32" s="3"/>
      <c r="D32" s="3"/>
      <c r="E32" s="3"/>
      <c r="F32" s="3"/>
      <c r="G32" s="8" t="str">
        <f t="shared" si="0"/>
        <v/>
      </c>
      <c r="H32" s="8" t="str">
        <f t="shared" si="1"/>
        <v/>
      </c>
    </row>
    <row r="33" spans="1:8" x14ac:dyDescent="0.55000000000000004">
      <c r="A33" s="7" t="s">
        <v>295</v>
      </c>
      <c r="B33" s="3"/>
      <c r="C33" s="3"/>
      <c r="D33" s="3"/>
      <c r="E33" s="3"/>
      <c r="F33" s="3"/>
      <c r="G33" s="8" t="str">
        <f t="shared" si="0"/>
        <v/>
      </c>
      <c r="H33" s="8" t="str">
        <f t="shared" si="1"/>
        <v/>
      </c>
    </row>
    <row r="34" spans="1:8" x14ac:dyDescent="0.55000000000000004">
      <c r="A34" s="7" t="s">
        <v>296</v>
      </c>
      <c r="B34" s="3"/>
      <c r="C34" s="3"/>
      <c r="D34" s="3"/>
      <c r="E34" s="3"/>
      <c r="F34" s="3"/>
      <c r="G34" s="8" t="str">
        <f t="shared" si="0"/>
        <v/>
      </c>
      <c r="H34" s="8" t="str">
        <f t="shared" si="1"/>
        <v/>
      </c>
    </row>
    <row r="35" spans="1:8" x14ac:dyDescent="0.55000000000000004">
      <c r="A35" s="7" t="s">
        <v>297</v>
      </c>
      <c r="B35" s="3"/>
      <c r="C35" s="3"/>
      <c r="D35" s="3"/>
      <c r="E35" s="3"/>
      <c r="F35" s="3"/>
      <c r="G35" s="8" t="str">
        <f t="shared" si="0"/>
        <v/>
      </c>
      <c r="H35" s="8" t="str">
        <f t="shared" si="1"/>
        <v/>
      </c>
    </row>
    <row r="36" spans="1:8" x14ac:dyDescent="0.55000000000000004">
      <c r="A36" s="7" t="s">
        <v>298</v>
      </c>
      <c r="B36" s="3"/>
      <c r="C36" s="3"/>
      <c r="D36" s="3"/>
      <c r="E36" s="3"/>
      <c r="F36" s="3"/>
      <c r="G36" s="8" t="str">
        <f t="shared" ref="G36:G67" si="2">IF(OR(B36="",F36=""),"",(F36-B36)*24)</f>
        <v/>
      </c>
      <c r="H36" s="8" t="str">
        <f t="shared" ref="H36:H67" si="3">IF(G36="","",IF(G36&lt;=48,"✅","❌"))</f>
        <v/>
      </c>
    </row>
    <row r="37" spans="1:8" x14ac:dyDescent="0.55000000000000004">
      <c r="A37" s="7" t="s">
        <v>299</v>
      </c>
      <c r="B37" s="3"/>
      <c r="C37" s="3"/>
      <c r="D37" s="3"/>
      <c r="E37" s="3"/>
      <c r="F37" s="3"/>
      <c r="G37" s="8" t="str">
        <f t="shared" si="2"/>
        <v/>
      </c>
      <c r="H37" s="8" t="str">
        <f t="shared" si="3"/>
        <v/>
      </c>
    </row>
    <row r="38" spans="1:8" x14ac:dyDescent="0.55000000000000004">
      <c r="A38" s="7" t="s">
        <v>300</v>
      </c>
      <c r="B38" s="3"/>
      <c r="C38" s="3"/>
      <c r="D38" s="3"/>
      <c r="E38" s="3"/>
      <c r="F38" s="3"/>
      <c r="G38" s="8" t="str">
        <f t="shared" si="2"/>
        <v/>
      </c>
      <c r="H38" s="8" t="str">
        <f t="shared" si="3"/>
        <v/>
      </c>
    </row>
    <row r="39" spans="1:8" x14ac:dyDescent="0.55000000000000004">
      <c r="A39" s="7" t="s">
        <v>301</v>
      </c>
      <c r="B39" s="3"/>
      <c r="C39" s="3"/>
      <c r="D39" s="3"/>
      <c r="E39" s="3"/>
      <c r="F39" s="3"/>
      <c r="G39" s="8" t="str">
        <f t="shared" si="2"/>
        <v/>
      </c>
      <c r="H39" s="8" t="str">
        <f t="shared" si="3"/>
        <v/>
      </c>
    </row>
    <row r="40" spans="1:8" x14ac:dyDescent="0.55000000000000004">
      <c r="A40" s="7" t="s">
        <v>302</v>
      </c>
      <c r="B40" s="3"/>
      <c r="C40" s="3"/>
      <c r="D40" s="3"/>
      <c r="E40" s="3"/>
      <c r="F40" s="3"/>
      <c r="G40" s="8" t="str">
        <f t="shared" si="2"/>
        <v/>
      </c>
      <c r="H40" s="8" t="str">
        <f t="shared" si="3"/>
        <v/>
      </c>
    </row>
    <row r="41" spans="1:8" x14ac:dyDescent="0.55000000000000004">
      <c r="A41" s="7" t="s">
        <v>303</v>
      </c>
      <c r="B41" s="3"/>
      <c r="C41" s="3"/>
      <c r="D41" s="3"/>
      <c r="E41" s="3"/>
      <c r="F41" s="3"/>
      <c r="G41" s="8" t="str">
        <f t="shared" si="2"/>
        <v/>
      </c>
      <c r="H41" s="8" t="str">
        <f t="shared" si="3"/>
        <v/>
      </c>
    </row>
    <row r="42" spans="1:8" x14ac:dyDescent="0.55000000000000004">
      <c r="A42" s="7" t="s">
        <v>304</v>
      </c>
      <c r="B42" s="3"/>
      <c r="C42" s="3"/>
      <c r="D42" s="3"/>
      <c r="E42" s="3"/>
      <c r="F42" s="3"/>
      <c r="G42" s="8" t="str">
        <f t="shared" si="2"/>
        <v/>
      </c>
      <c r="H42" s="8" t="str">
        <f t="shared" si="3"/>
        <v/>
      </c>
    </row>
    <row r="43" spans="1:8" x14ac:dyDescent="0.55000000000000004">
      <c r="A43" s="7" t="s">
        <v>305</v>
      </c>
      <c r="B43" s="3"/>
      <c r="C43" s="3"/>
      <c r="D43" s="3"/>
      <c r="E43" s="3"/>
      <c r="F43" s="3"/>
      <c r="G43" s="8" t="str">
        <f t="shared" si="2"/>
        <v/>
      </c>
      <c r="H43" s="8" t="str">
        <f t="shared" si="3"/>
        <v/>
      </c>
    </row>
    <row r="44" spans="1:8" x14ac:dyDescent="0.55000000000000004">
      <c r="A44" s="7" t="s">
        <v>306</v>
      </c>
      <c r="B44" s="3"/>
      <c r="C44" s="3"/>
      <c r="D44" s="3"/>
      <c r="E44" s="3"/>
      <c r="F44" s="3"/>
      <c r="G44" s="8" t="str">
        <f t="shared" si="2"/>
        <v/>
      </c>
      <c r="H44" s="8" t="str">
        <f t="shared" si="3"/>
        <v/>
      </c>
    </row>
    <row r="45" spans="1:8" x14ac:dyDescent="0.55000000000000004">
      <c r="A45" s="7" t="s">
        <v>307</v>
      </c>
      <c r="B45" s="3"/>
      <c r="C45" s="3"/>
      <c r="D45" s="3"/>
      <c r="E45" s="3"/>
      <c r="F45" s="3"/>
      <c r="G45" s="8" t="str">
        <f t="shared" si="2"/>
        <v/>
      </c>
      <c r="H45" s="8" t="str">
        <f t="shared" si="3"/>
        <v/>
      </c>
    </row>
    <row r="46" spans="1:8" x14ac:dyDescent="0.55000000000000004">
      <c r="A46" s="7" t="s">
        <v>308</v>
      </c>
      <c r="B46" s="3"/>
      <c r="C46" s="3"/>
      <c r="D46" s="3"/>
      <c r="E46" s="3"/>
      <c r="F46" s="3"/>
      <c r="G46" s="8" t="str">
        <f t="shared" si="2"/>
        <v/>
      </c>
      <c r="H46" s="8" t="str">
        <f t="shared" si="3"/>
        <v/>
      </c>
    </row>
    <row r="47" spans="1:8" x14ac:dyDescent="0.55000000000000004">
      <c r="A47" s="7" t="s">
        <v>309</v>
      </c>
      <c r="B47" s="3"/>
      <c r="C47" s="3"/>
      <c r="D47" s="3"/>
      <c r="E47" s="3"/>
      <c r="F47" s="3"/>
      <c r="G47" s="8" t="str">
        <f t="shared" si="2"/>
        <v/>
      </c>
      <c r="H47" s="8" t="str">
        <f t="shared" si="3"/>
        <v/>
      </c>
    </row>
    <row r="48" spans="1:8" x14ac:dyDescent="0.55000000000000004">
      <c r="A48" s="7" t="s">
        <v>310</v>
      </c>
      <c r="B48" s="3"/>
      <c r="C48" s="3"/>
      <c r="D48" s="3"/>
      <c r="E48" s="3"/>
      <c r="F48" s="3"/>
      <c r="G48" s="8" t="str">
        <f t="shared" si="2"/>
        <v/>
      </c>
      <c r="H48" s="8" t="str">
        <f t="shared" si="3"/>
        <v/>
      </c>
    </row>
    <row r="49" spans="1:8" x14ac:dyDescent="0.55000000000000004">
      <c r="A49" s="7" t="s">
        <v>311</v>
      </c>
      <c r="B49" s="3"/>
      <c r="C49" s="3"/>
      <c r="D49" s="3"/>
      <c r="E49" s="3"/>
      <c r="F49" s="3"/>
      <c r="G49" s="8" t="str">
        <f t="shared" si="2"/>
        <v/>
      </c>
      <c r="H49" s="8" t="str">
        <f t="shared" si="3"/>
        <v/>
      </c>
    </row>
    <row r="50" spans="1:8" x14ac:dyDescent="0.55000000000000004">
      <c r="A50" s="7" t="s">
        <v>312</v>
      </c>
      <c r="B50" s="3"/>
      <c r="C50" s="3"/>
      <c r="D50" s="3"/>
      <c r="E50" s="3"/>
      <c r="F50" s="3"/>
      <c r="G50" s="8" t="str">
        <f t="shared" si="2"/>
        <v/>
      </c>
      <c r="H50" s="8" t="str">
        <f t="shared" si="3"/>
        <v/>
      </c>
    </row>
    <row r="51" spans="1:8" x14ac:dyDescent="0.55000000000000004">
      <c r="A51" s="7" t="s">
        <v>313</v>
      </c>
      <c r="B51" s="3"/>
      <c r="C51" s="3"/>
      <c r="D51" s="3"/>
      <c r="E51" s="3"/>
      <c r="F51" s="3"/>
      <c r="G51" s="8" t="str">
        <f t="shared" si="2"/>
        <v/>
      </c>
      <c r="H51" s="8" t="str">
        <f t="shared" si="3"/>
        <v/>
      </c>
    </row>
    <row r="52" spans="1:8" x14ac:dyDescent="0.55000000000000004">
      <c r="A52" s="7" t="s">
        <v>314</v>
      </c>
      <c r="B52" s="3"/>
      <c r="C52" s="3"/>
      <c r="D52" s="3"/>
      <c r="E52" s="3"/>
      <c r="F52" s="3"/>
      <c r="G52" s="8" t="str">
        <f t="shared" si="2"/>
        <v/>
      </c>
      <c r="H52" s="8" t="str">
        <f t="shared" si="3"/>
        <v/>
      </c>
    </row>
    <row r="53" spans="1:8" x14ac:dyDescent="0.55000000000000004">
      <c r="A53" s="7" t="s">
        <v>315</v>
      </c>
      <c r="B53" s="3"/>
      <c r="C53" s="3"/>
      <c r="D53" s="3"/>
      <c r="E53" s="3"/>
      <c r="F53" s="3"/>
      <c r="G53" s="8" t="str">
        <f t="shared" si="2"/>
        <v/>
      </c>
      <c r="H53" s="8" t="str">
        <f t="shared" si="3"/>
        <v/>
      </c>
    </row>
    <row r="56" spans="1:8" ht="15.3" x14ac:dyDescent="0.55000000000000004">
      <c r="A56" s="5" t="s">
        <v>316</v>
      </c>
    </row>
    <row r="57" spans="1:8" x14ac:dyDescent="0.55000000000000004">
      <c r="A57" s="8" t="s">
        <v>317</v>
      </c>
      <c r="B57" s="8" t="s">
        <v>318</v>
      </c>
      <c r="C57" s="8" t="str">
        <f>IF(COUNT(G4:G53)&gt;0,COUNTIF(G4:G53,"&lt;=48")/COUNT(G4:G53)*100,"-")</f>
        <v>-</v>
      </c>
      <c r="D57" s="8" t="s">
        <v>29</v>
      </c>
      <c r="E57" s="8" t="str">
        <f>IF(C57="-","⚪",IF(C57&gt;=90,"✅","❌"))</f>
        <v>⚪</v>
      </c>
    </row>
  </sheetData>
  <mergeCells count="1">
    <mergeCell ref="A1:H1"/>
  </mergeCells>
  <dataValidations count="1">
    <dataValidation type="list" allowBlank="1" sqref="D4:D53" xr:uid="{00000000-0002-0000-0400-000000000000}">
      <formula1>"CRA,Sponsor,CRO,Comité Ética,Autoridad Regulatoria"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5" zoomScaleNormal="100" workbookViewId="0">
      <selection activeCell="H23" sqref="H23"/>
    </sheetView>
  </sheetViews>
  <sheetFormatPr baseColWidth="10" defaultColWidth="8.68359375" defaultRowHeight="14.4" x14ac:dyDescent="0.55000000000000004"/>
  <cols>
    <col min="1" max="1" width="45.3671875" bestFit="1" customWidth="1"/>
    <col min="2" max="2" width="8.05078125" bestFit="1" customWidth="1"/>
    <col min="3" max="3" width="5.9453125" bestFit="1" customWidth="1"/>
    <col min="4" max="4" width="13.20703125" bestFit="1" customWidth="1"/>
    <col min="5" max="5" width="18.9453125" bestFit="1" customWidth="1"/>
    <col min="6" max="6" width="9.578125" bestFit="1" customWidth="1"/>
    <col min="7" max="7" width="16.1015625" bestFit="1" customWidth="1"/>
    <col min="8" max="8" width="15.1015625" bestFit="1" customWidth="1"/>
    <col min="9" max="9" width="13.15625" bestFit="1" customWidth="1"/>
    <col min="10" max="10" width="14.15625" bestFit="1" customWidth="1"/>
  </cols>
  <sheetData>
    <row r="1" spans="1:10" ht="19.8" x14ac:dyDescent="0.65">
      <c r="A1" s="2" t="s">
        <v>319</v>
      </c>
      <c r="B1" s="2"/>
      <c r="C1" s="2"/>
      <c r="D1" s="2"/>
      <c r="E1" s="2"/>
      <c r="F1" s="2"/>
      <c r="G1" s="2"/>
      <c r="H1" s="2"/>
      <c r="I1" s="2"/>
      <c r="J1" s="2"/>
    </row>
    <row r="3" spans="1:10" ht="15.3" x14ac:dyDescent="0.55000000000000004">
      <c r="A3" s="5" t="s">
        <v>320</v>
      </c>
    </row>
    <row r="4" spans="1:10" x14ac:dyDescent="0.55000000000000004">
      <c r="A4" s="11" t="s">
        <v>321</v>
      </c>
      <c r="B4" s="11" t="s">
        <v>322</v>
      </c>
      <c r="C4" s="11" t="s">
        <v>323</v>
      </c>
      <c r="D4" s="11" t="s">
        <v>324</v>
      </c>
      <c r="E4" s="11" t="s">
        <v>325</v>
      </c>
      <c r="F4" s="11" t="s">
        <v>326</v>
      </c>
      <c r="G4" s="11" t="s">
        <v>327</v>
      </c>
      <c r="H4" s="11" t="s">
        <v>328</v>
      </c>
      <c r="I4" s="11" t="s">
        <v>329</v>
      </c>
      <c r="J4" s="11" t="s">
        <v>330</v>
      </c>
    </row>
    <row r="5" spans="1:10" x14ac:dyDescent="0.55000000000000004">
      <c r="A5" s="7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55000000000000004">
      <c r="A6" s="7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 x14ac:dyDescent="0.55000000000000004">
      <c r="A7" s="7">
        <v>3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55000000000000004">
      <c r="A8" s="7">
        <v>4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55000000000000004">
      <c r="A9" s="7">
        <v>5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55000000000000004">
      <c r="A10" s="7">
        <v>6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55000000000000004">
      <c r="A11" s="7">
        <v>7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55000000000000004">
      <c r="A12" s="7">
        <v>8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55000000000000004">
      <c r="A13" s="7">
        <v>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55000000000000004">
      <c r="A14" s="7">
        <v>10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55000000000000004">
      <c r="A15" s="7">
        <v>11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55000000000000004">
      <c r="A16" s="7">
        <v>12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55000000000000004">
      <c r="A17" s="7">
        <v>13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55000000000000004">
      <c r="A18" s="7">
        <v>14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55000000000000004">
      <c r="A19" s="7">
        <v>15</v>
      </c>
      <c r="B19" s="3"/>
      <c r="C19" s="3"/>
      <c r="D19" s="3"/>
      <c r="E19" s="3"/>
      <c r="F19" s="3"/>
      <c r="G19" s="3"/>
      <c r="H19" s="3"/>
      <c r="I19" s="3"/>
      <c r="J19" s="3"/>
    </row>
    <row r="22" spans="1:10" ht="15.3" x14ac:dyDescent="0.55000000000000004">
      <c r="A22" s="5" t="s">
        <v>331</v>
      </c>
      <c r="D22" s="6" t="s">
        <v>10</v>
      </c>
      <c r="E22" s="6" t="s">
        <v>11</v>
      </c>
      <c r="F22" s="6" t="s">
        <v>8</v>
      </c>
      <c r="G22" s="6" t="s">
        <v>12</v>
      </c>
      <c r="H22" s="6" t="s">
        <v>13</v>
      </c>
    </row>
    <row r="23" spans="1:10" x14ac:dyDescent="0.55000000000000004">
      <c r="A23" s="6" t="s">
        <v>7</v>
      </c>
      <c r="B23" s="6" t="s">
        <v>8</v>
      </c>
      <c r="D23" s="8" t="s">
        <v>332</v>
      </c>
      <c r="E23" s="8" t="s">
        <v>333</v>
      </c>
      <c r="F23" s="8" t="str">
        <f>IF(B24&gt;0,B26/B24*100,"-")</f>
        <v>-</v>
      </c>
      <c r="G23" s="8" t="s">
        <v>334</v>
      </c>
      <c r="H23" s="8" t="str">
        <f>IF(G23="-","⚪",IF(G23&lt;=18,"✅","❌"))</f>
        <v>❌</v>
      </c>
    </row>
    <row r="24" spans="1:10" x14ac:dyDescent="0.55000000000000004">
      <c r="A24" s="7" t="s">
        <v>335</v>
      </c>
      <c r="B24" s="3"/>
      <c r="D24" s="8" t="s">
        <v>336</v>
      </c>
      <c r="E24" s="8" t="s">
        <v>337</v>
      </c>
      <c r="F24" s="8" t="str">
        <f>IF(COUNTA(G5:G19)&gt;0,(COUNTIF(G5:G19,"Excepcional")+COUNTIF(G5:G19,"Satisfactorio"))/COUNTA(G5:G19)*100,"-")</f>
        <v>-</v>
      </c>
      <c r="G24" s="8" t="s">
        <v>338</v>
      </c>
      <c r="H24" s="8" t="str">
        <f>IF(G24="-","⚪",IF(G24&gt;=80,"✅","❌"))</f>
        <v>✅</v>
      </c>
    </row>
    <row r="25" spans="1:10" x14ac:dyDescent="0.55000000000000004">
      <c r="A25" s="7" t="s">
        <v>339</v>
      </c>
      <c r="B25" s="3"/>
      <c r="D25" s="8" t="s">
        <v>340</v>
      </c>
      <c r="E25" s="8" t="s">
        <v>341</v>
      </c>
      <c r="F25" s="8" t="str">
        <f>IF(COUNTA(E5:E19)&gt;0,COUNTIF(E5:E19,"Sí")/COUNTA(E5:E19)*100,"-")</f>
        <v>-</v>
      </c>
      <c r="G25" s="9">
        <f>100%</f>
        <v>1</v>
      </c>
      <c r="H25" s="8" t="str">
        <f>IF(G25="-","⚪",IF(G25=100,"✅","❌"))</f>
        <v>❌</v>
      </c>
    </row>
    <row r="26" spans="1:10" x14ac:dyDescent="0.55000000000000004">
      <c r="A26" s="7" t="s">
        <v>342</v>
      </c>
      <c r="B26" s="3"/>
      <c r="D26" s="8" t="s">
        <v>343</v>
      </c>
      <c r="E26" s="8" t="s">
        <v>344</v>
      </c>
      <c r="F26" s="8">
        <f>COUNTA(B5:B19)</f>
        <v>0</v>
      </c>
      <c r="G26" s="8" t="s">
        <v>345</v>
      </c>
      <c r="H26" s="8" t="str">
        <f>IF(G26&lt;=8,"✅","⚠️")</f>
        <v>⚠️</v>
      </c>
    </row>
    <row r="27" spans="1:10" x14ac:dyDescent="0.55000000000000004">
      <c r="A27" s="7" t="s">
        <v>346</v>
      </c>
      <c r="B27" s="3"/>
      <c r="D27" s="8" t="s">
        <v>347</v>
      </c>
      <c r="E27" s="8" t="s">
        <v>348</v>
      </c>
      <c r="F27" s="8" t="str">
        <f>IF(B32&gt;0,B33/B32*100,"-")</f>
        <v>-</v>
      </c>
      <c r="G27" s="8" t="s">
        <v>29</v>
      </c>
      <c r="H27" s="8" t="str">
        <f>IF(G27="-","⚪",IF(G27&gt;=90,"✅","❌"))</f>
        <v>✅</v>
      </c>
    </row>
    <row r="28" spans="1:10" x14ac:dyDescent="0.55000000000000004">
      <c r="D28" s="8" t="s">
        <v>349</v>
      </c>
      <c r="E28" s="8" t="s">
        <v>350</v>
      </c>
      <c r="F28" s="8" t="str">
        <f>IF(COUNT(H5:H19)&gt;0,AVERAGE(H5:H19),"-")</f>
        <v>-</v>
      </c>
      <c r="G28" s="8" t="s">
        <v>351</v>
      </c>
      <c r="H28" s="8" t="str">
        <f>IF(G28="-","⚪",IF(AND(G28&gt;=2.5,G28&lt;=3.5),"✅","⚠️"))</f>
        <v>⚠️</v>
      </c>
    </row>
    <row r="30" spans="1:10" ht="15.3" x14ac:dyDescent="0.55000000000000004">
      <c r="A30" s="5" t="s">
        <v>352</v>
      </c>
    </row>
    <row r="31" spans="1:10" x14ac:dyDescent="0.55000000000000004">
      <c r="A31" s="6" t="s">
        <v>7</v>
      </c>
      <c r="B31" s="6" t="s">
        <v>8</v>
      </c>
    </row>
    <row r="32" spans="1:10" x14ac:dyDescent="0.55000000000000004">
      <c r="A32" s="7" t="s">
        <v>353</v>
      </c>
      <c r="B32" s="3"/>
    </row>
    <row r="33" spans="1:2" x14ac:dyDescent="0.55000000000000004">
      <c r="A33" s="7" t="s">
        <v>354</v>
      </c>
      <c r="B33" s="3"/>
    </row>
  </sheetData>
  <mergeCells count="1">
    <mergeCell ref="A1:J1"/>
  </mergeCells>
  <dataValidations count="3">
    <dataValidation type="list" allowBlank="1" sqref="E5:E19" xr:uid="{00000000-0002-0000-0500-000000000000}">
      <formula1>"Sí,No"</formula1>
      <formula2>0</formula2>
    </dataValidation>
    <dataValidation type="list" allowBlank="1" sqref="G5:G19" xr:uid="{00000000-0002-0000-0500-000001000000}">
      <formula1>"Excepcional,Satisfactorio,Necesita Mejora,No Evaluado"</formula1>
      <formula2>0</formula2>
    </dataValidation>
    <dataValidation type="list" allowBlank="1" sqref="C5:C19" xr:uid="{00000000-0002-0000-0500-000002000000}">
      <formula1>"SC Senior,SC II,SC I,CTA,Regulatory Specialist II,Regulatory Specialist 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zoomScaleNormal="100" workbookViewId="0">
      <selection activeCell="E13" sqref="E13"/>
    </sheetView>
  </sheetViews>
  <sheetFormatPr baseColWidth="10" defaultColWidth="8.68359375" defaultRowHeight="14.4" x14ac:dyDescent="0.55000000000000004"/>
  <cols>
    <col min="1" max="3" width="20.83984375" customWidth="1"/>
    <col min="4" max="4" width="22.89453125" bestFit="1" customWidth="1"/>
    <col min="5" max="7" width="20.83984375" customWidth="1"/>
  </cols>
  <sheetData>
    <row r="1" spans="1:7" ht="19.8" x14ac:dyDescent="0.65">
      <c r="A1" s="2" t="s">
        <v>355</v>
      </c>
      <c r="B1" s="2"/>
      <c r="C1" s="2"/>
      <c r="D1" s="2"/>
      <c r="E1" s="2"/>
      <c r="F1" s="2"/>
      <c r="G1" s="2"/>
    </row>
    <row r="3" spans="1:7" x14ac:dyDescent="0.55000000000000004">
      <c r="A3" s="11" t="s">
        <v>356</v>
      </c>
      <c r="B3" s="11" t="s">
        <v>215</v>
      </c>
      <c r="C3" s="11" t="s">
        <v>87</v>
      </c>
      <c r="D3" s="11" t="s">
        <v>357</v>
      </c>
      <c r="E3" s="11" t="s">
        <v>358</v>
      </c>
      <c r="F3" s="11" t="s">
        <v>359</v>
      </c>
      <c r="G3" s="11" t="s">
        <v>360</v>
      </c>
    </row>
    <row r="4" spans="1:7" x14ac:dyDescent="0.55000000000000004">
      <c r="A4" s="3"/>
      <c r="B4" s="3"/>
      <c r="C4" s="3"/>
      <c r="D4" s="3"/>
      <c r="E4" s="3"/>
      <c r="F4" s="3"/>
      <c r="G4" s="3"/>
    </row>
    <row r="5" spans="1:7" x14ac:dyDescent="0.55000000000000004">
      <c r="A5" s="3"/>
      <c r="B5" s="3"/>
      <c r="C5" s="3"/>
      <c r="D5" s="3"/>
      <c r="E5" s="3"/>
      <c r="F5" s="3"/>
      <c r="G5" s="3"/>
    </row>
    <row r="6" spans="1:7" x14ac:dyDescent="0.55000000000000004">
      <c r="A6" s="3"/>
      <c r="B6" s="3"/>
      <c r="C6" s="3"/>
      <c r="D6" s="3"/>
      <c r="E6" s="3"/>
      <c r="F6" s="3"/>
      <c r="G6" s="3"/>
    </row>
    <row r="7" spans="1:7" x14ac:dyDescent="0.55000000000000004">
      <c r="A7" s="3"/>
      <c r="B7" s="3"/>
      <c r="C7" s="3"/>
      <c r="D7" s="3"/>
      <c r="E7" s="3"/>
      <c r="F7" s="3"/>
      <c r="G7" s="3"/>
    </row>
    <row r="8" spans="1:7" x14ac:dyDescent="0.55000000000000004">
      <c r="A8" s="3"/>
      <c r="B8" s="3"/>
      <c r="C8" s="3"/>
      <c r="D8" s="3"/>
      <c r="E8" s="3"/>
      <c r="F8" s="3"/>
      <c r="G8" s="3"/>
    </row>
    <row r="9" spans="1:7" x14ac:dyDescent="0.55000000000000004">
      <c r="A9" s="3"/>
      <c r="B9" s="3"/>
      <c r="C9" s="3"/>
      <c r="D9" s="3"/>
      <c r="E9" s="3"/>
      <c r="F9" s="3"/>
      <c r="G9" s="3"/>
    </row>
    <row r="10" spans="1:7" x14ac:dyDescent="0.55000000000000004">
      <c r="A10" s="3"/>
      <c r="B10" s="3"/>
      <c r="C10" s="3"/>
      <c r="D10" s="3"/>
      <c r="E10" s="3"/>
      <c r="F10" s="3"/>
      <c r="G10" s="3"/>
    </row>
    <row r="11" spans="1:7" x14ac:dyDescent="0.55000000000000004">
      <c r="A11" s="3"/>
      <c r="B11" s="3"/>
      <c r="C11" s="3"/>
      <c r="D11" s="3"/>
      <c r="E11" s="3"/>
      <c r="F11" s="3"/>
      <c r="G11" s="3"/>
    </row>
    <row r="12" spans="1:7" x14ac:dyDescent="0.55000000000000004">
      <c r="A12" s="3"/>
      <c r="B12" s="3"/>
      <c r="C12" s="3"/>
      <c r="D12" s="3"/>
      <c r="E12" s="3"/>
      <c r="F12" s="3"/>
      <c r="G12" s="3"/>
    </row>
    <row r="13" spans="1:7" x14ac:dyDescent="0.55000000000000004">
      <c r="A13" s="3"/>
      <c r="B13" s="3"/>
      <c r="C13" s="3"/>
      <c r="D13" s="3"/>
      <c r="E13" s="3"/>
      <c r="F13" s="3"/>
      <c r="G13" s="3"/>
    </row>
    <row r="14" spans="1:7" x14ac:dyDescent="0.55000000000000004">
      <c r="A14" s="3"/>
      <c r="B14" s="3"/>
      <c r="C14" s="3"/>
      <c r="D14" s="3"/>
      <c r="E14" s="3"/>
      <c r="F14" s="3"/>
      <c r="G14" s="3"/>
    </row>
    <row r="15" spans="1:7" x14ac:dyDescent="0.55000000000000004">
      <c r="A15" s="3"/>
      <c r="B15" s="3"/>
      <c r="C15" s="3"/>
      <c r="D15" s="3"/>
      <c r="E15" s="3"/>
      <c r="F15" s="3"/>
      <c r="G15" s="3"/>
    </row>
    <row r="16" spans="1:7" x14ac:dyDescent="0.55000000000000004">
      <c r="A16" s="3"/>
      <c r="B16" s="3"/>
      <c r="C16" s="3"/>
      <c r="D16" s="3"/>
      <c r="E16" s="3"/>
      <c r="F16" s="3"/>
      <c r="G16" s="3"/>
    </row>
    <row r="17" spans="1:7" x14ac:dyDescent="0.55000000000000004">
      <c r="A17" s="3"/>
      <c r="B17" s="3"/>
      <c r="C17" s="3"/>
      <c r="D17" s="3"/>
      <c r="E17" s="3"/>
      <c r="F17" s="3"/>
      <c r="G17" s="3"/>
    </row>
    <row r="18" spans="1:7" x14ac:dyDescent="0.55000000000000004">
      <c r="A18" s="3"/>
      <c r="B18" s="3"/>
      <c r="C18" s="3"/>
      <c r="D18" s="3"/>
      <c r="E18" s="3"/>
      <c r="F18" s="3"/>
      <c r="G18" s="3"/>
    </row>
    <row r="19" spans="1:7" x14ac:dyDescent="0.55000000000000004">
      <c r="A19" s="3"/>
      <c r="B19" s="3"/>
      <c r="C19" s="3"/>
      <c r="D19" s="3"/>
      <c r="E19" s="3"/>
      <c r="F19" s="3"/>
      <c r="G19" s="3"/>
    </row>
    <row r="20" spans="1:7" x14ac:dyDescent="0.55000000000000004">
      <c r="A20" s="3"/>
      <c r="B20" s="3"/>
      <c r="C20" s="3"/>
      <c r="D20" s="3"/>
      <c r="E20" s="3"/>
      <c r="F20" s="3"/>
      <c r="G20" s="3"/>
    </row>
    <row r="21" spans="1:7" x14ac:dyDescent="0.55000000000000004">
      <c r="A21" s="3"/>
      <c r="B21" s="3"/>
      <c r="C21" s="3"/>
      <c r="D21" s="3"/>
      <c r="E21" s="3"/>
      <c r="F21" s="3"/>
      <c r="G21" s="3"/>
    </row>
    <row r="22" spans="1:7" x14ac:dyDescent="0.55000000000000004">
      <c r="A22" s="3"/>
      <c r="B22" s="3"/>
      <c r="C22" s="3"/>
      <c r="D22" s="3"/>
      <c r="E22" s="3"/>
      <c r="F22" s="3"/>
      <c r="G22" s="3"/>
    </row>
    <row r="23" spans="1:7" x14ac:dyDescent="0.55000000000000004">
      <c r="A23" s="3"/>
      <c r="B23" s="3"/>
      <c r="C23" s="3"/>
      <c r="D23" s="3"/>
      <c r="E23" s="3"/>
      <c r="F23" s="3"/>
      <c r="G23" s="3"/>
    </row>
    <row r="26" spans="1:7" ht="15.3" x14ac:dyDescent="0.55000000000000004">
      <c r="A26" s="5" t="s">
        <v>361</v>
      </c>
    </row>
    <row r="27" spans="1:7" x14ac:dyDescent="0.55000000000000004">
      <c r="A27" s="8" t="s">
        <v>362</v>
      </c>
      <c r="B27" s="8" t="s">
        <v>363</v>
      </c>
      <c r="C27" s="8" t="str">
        <f>IF(COUNT(D4:D23)&gt;0,AVERAGE(D4:D23),"-")</f>
        <v>-</v>
      </c>
      <c r="D27" s="8" t="s">
        <v>364</v>
      </c>
      <c r="E27" s="8" t="str">
        <f>IF(C27="-","⚪",IF(C27&gt;=4,"✅","❌"))</f>
        <v>⚪</v>
      </c>
    </row>
    <row r="28" spans="1:7" x14ac:dyDescent="0.55000000000000004">
      <c r="A28" s="8" t="s">
        <v>365</v>
      </c>
      <c r="B28" s="8" t="s">
        <v>366</v>
      </c>
      <c r="C28" s="8" t="str">
        <f>IF(COUNT(E4:E23)&gt;0,AVERAGE(E4:E23),"-")</f>
        <v>-</v>
      </c>
      <c r="D28" s="8" t="s">
        <v>367</v>
      </c>
      <c r="E28" s="8" t="str">
        <f>IF(C28="-","⚪",IF(C28&gt;=8,"✅","❌"))</f>
        <v>⚪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zoomScaleNormal="100" workbookViewId="0">
      <selection sqref="A1:H1"/>
    </sheetView>
  </sheetViews>
  <sheetFormatPr baseColWidth="10" defaultColWidth="8.68359375" defaultRowHeight="14.4" x14ac:dyDescent="0.55000000000000004"/>
  <cols>
    <col min="1" max="8" width="18" customWidth="1"/>
  </cols>
  <sheetData>
    <row r="1" spans="1:8" ht="19.8" x14ac:dyDescent="0.65">
      <c r="A1" s="2" t="s">
        <v>368</v>
      </c>
      <c r="B1" s="2"/>
      <c r="C1" s="2"/>
      <c r="D1" s="2"/>
      <c r="E1" s="2"/>
      <c r="F1" s="2"/>
      <c r="G1" s="2"/>
      <c r="H1" s="2"/>
    </row>
    <row r="3" spans="1:8" x14ac:dyDescent="0.55000000000000004">
      <c r="A3" s="11" t="s">
        <v>10</v>
      </c>
      <c r="B3" s="11" t="s">
        <v>369</v>
      </c>
      <c r="C3" s="11" t="s">
        <v>87</v>
      </c>
      <c r="D3" s="11" t="s">
        <v>89</v>
      </c>
      <c r="E3" s="11" t="s">
        <v>370</v>
      </c>
      <c r="F3" s="11" t="s">
        <v>371</v>
      </c>
      <c r="G3" s="11" t="s">
        <v>372</v>
      </c>
      <c r="H3" s="11" t="s">
        <v>156</v>
      </c>
    </row>
    <row r="4" spans="1:8" x14ac:dyDescent="0.55000000000000004">
      <c r="A4" s="7" t="s">
        <v>373</v>
      </c>
      <c r="B4" s="3"/>
      <c r="C4" s="3"/>
      <c r="D4" s="3"/>
      <c r="E4" s="3"/>
      <c r="F4" s="3"/>
      <c r="G4" s="8" t="str">
        <f t="shared" ref="G4:G33" si="0">IF(OR(B4="",F4=""),"",(F4-B4)*24)</f>
        <v/>
      </c>
      <c r="H4" s="8" t="str">
        <f t="shared" ref="H4:H33" si="1">IF(G4="","",IF(G4&lt;=4,"✅","❌"))</f>
        <v/>
      </c>
    </row>
    <row r="5" spans="1:8" x14ac:dyDescent="0.55000000000000004">
      <c r="A5" s="7" t="s">
        <v>374</v>
      </c>
      <c r="B5" s="3"/>
      <c r="C5" s="3"/>
      <c r="D5" s="3"/>
      <c r="E5" s="3"/>
      <c r="F5" s="3"/>
      <c r="G5" s="8" t="str">
        <f t="shared" si="0"/>
        <v/>
      </c>
      <c r="H5" s="8" t="str">
        <f t="shared" si="1"/>
        <v/>
      </c>
    </row>
    <row r="6" spans="1:8" x14ac:dyDescent="0.55000000000000004">
      <c r="A6" s="7" t="s">
        <v>375</v>
      </c>
      <c r="B6" s="3"/>
      <c r="C6" s="3"/>
      <c r="D6" s="3"/>
      <c r="E6" s="3"/>
      <c r="F6" s="3"/>
      <c r="G6" s="8" t="str">
        <f t="shared" si="0"/>
        <v/>
      </c>
      <c r="H6" s="8" t="str">
        <f t="shared" si="1"/>
        <v/>
      </c>
    </row>
    <row r="7" spans="1:8" x14ac:dyDescent="0.55000000000000004">
      <c r="A7" s="7" t="s">
        <v>376</v>
      </c>
      <c r="B7" s="3"/>
      <c r="C7" s="3"/>
      <c r="D7" s="3"/>
      <c r="E7" s="3"/>
      <c r="F7" s="3"/>
      <c r="G7" s="8" t="str">
        <f t="shared" si="0"/>
        <v/>
      </c>
      <c r="H7" s="8" t="str">
        <f t="shared" si="1"/>
        <v/>
      </c>
    </row>
    <row r="8" spans="1:8" x14ac:dyDescent="0.55000000000000004">
      <c r="A8" s="7" t="s">
        <v>377</v>
      </c>
      <c r="B8" s="3"/>
      <c r="C8" s="3"/>
      <c r="D8" s="3"/>
      <c r="E8" s="3"/>
      <c r="F8" s="3"/>
      <c r="G8" s="8" t="str">
        <f t="shared" si="0"/>
        <v/>
      </c>
      <c r="H8" s="8" t="str">
        <f t="shared" si="1"/>
        <v/>
      </c>
    </row>
    <row r="9" spans="1:8" x14ac:dyDescent="0.55000000000000004">
      <c r="A9" s="7" t="s">
        <v>378</v>
      </c>
      <c r="B9" s="3"/>
      <c r="C9" s="3"/>
      <c r="D9" s="3"/>
      <c r="E9" s="3"/>
      <c r="F9" s="3"/>
      <c r="G9" s="8" t="str">
        <f t="shared" si="0"/>
        <v/>
      </c>
      <c r="H9" s="8" t="str">
        <f t="shared" si="1"/>
        <v/>
      </c>
    </row>
    <row r="10" spans="1:8" x14ac:dyDescent="0.55000000000000004">
      <c r="A10" s="7" t="s">
        <v>379</v>
      </c>
      <c r="B10" s="3"/>
      <c r="C10" s="3"/>
      <c r="D10" s="3"/>
      <c r="E10" s="3"/>
      <c r="F10" s="3"/>
      <c r="G10" s="8" t="str">
        <f t="shared" si="0"/>
        <v/>
      </c>
      <c r="H10" s="8" t="str">
        <f t="shared" si="1"/>
        <v/>
      </c>
    </row>
    <row r="11" spans="1:8" x14ac:dyDescent="0.55000000000000004">
      <c r="A11" s="7" t="s">
        <v>380</v>
      </c>
      <c r="B11" s="3"/>
      <c r="C11" s="3"/>
      <c r="D11" s="3"/>
      <c r="E11" s="3"/>
      <c r="F11" s="3"/>
      <c r="G11" s="8" t="str">
        <f t="shared" si="0"/>
        <v/>
      </c>
      <c r="H11" s="8" t="str">
        <f t="shared" si="1"/>
        <v/>
      </c>
    </row>
    <row r="12" spans="1:8" x14ac:dyDescent="0.55000000000000004">
      <c r="A12" s="7" t="s">
        <v>381</v>
      </c>
      <c r="B12" s="3"/>
      <c r="C12" s="3"/>
      <c r="D12" s="3"/>
      <c r="E12" s="3"/>
      <c r="F12" s="3"/>
      <c r="G12" s="8" t="str">
        <f t="shared" si="0"/>
        <v/>
      </c>
      <c r="H12" s="8" t="str">
        <f t="shared" si="1"/>
        <v/>
      </c>
    </row>
    <row r="13" spans="1:8" x14ac:dyDescent="0.55000000000000004">
      <c r="A13" s="7" t="s">
        <v>382</v>
      </c>
      <c r="B13" s="3"/>
      <c r="C13" s="3"/>
      <c r="D13" s="3"/>
      <c r="E13" s="3"/>
      <c r="F13" s="3"/>
      <c r="G13" s="8" t="str">
        <f t="shared" si="0"/>
        <v/>
      </c>
      <c r="H13" s="8" t="str">
        <f t="shared" si="1"/>
        <v/>
      </c>
    </row>
    <row r="14" spans="1:8" x14ac:dyDescent="0.55000000000000004">
      <c r="A14" s="7" t="s">
        <v>383</v>
      </c>
      <c r="B14" s="3"/>
      <c r="C14" s="3"/>
      <c r="D14" s="3"/>
      <c r="E14" s="3"/>
      <c r="F14" s="3"/>
      <c r="G14" s="8" t="str">
        <f t="shared" si="0"/>
        <v/>
      </c>
      <c r="H14" s="8" t="str">
        <f t="shared" si="1"/>
        <v/>
      </c>
    </row>
    <row r="15" spans="1:8" x14ac:dyDescent="0.55000000000000004">
      <c r="A15" s="7" t="s">
        <v>384</v>
      </c>
      <c r="B15" s="3"/>
      <c r="C15" s="3"/>
      <c r="D15" s="3"/>
      <c r="E15" s="3"/>
      <c r="F15" s="3"/>
      <c r="G15" s="8" t="str">
        <f t="shared" si="0"/>
        <v/>
      </c>
      <c r="H15" s="8" t="str">
        <f t="shared" si="1"/>
        <v/>
      </c>
    </row>
    <row r="16" spans="1:8" x14ac:dyDescent="0.55000000000000004">
      <c r="A16" s="7" t="s">
        <v>385</v>
      </c>
      <c r="B16" s="3"/>
      <c r="C16" s="3"/>
      <c r="D16" s="3"/>
      <c r="E16" s="3"/>
      <c r="F16" s="3"/>
      <c r="G16" s="8" t="str">
        <f t="shared" si="0"/>
        <v/>
      </c>
      <c r="H16" s="8" t="str">
        <f t="shared" si="1"/>
        <v/>
      </c>
    </row>
    <row r="17" spans="1:8" x14ac:dyDescent="0.55000000000000004">
      <c r="A17" s="7" t="s">
        <v>386</v>
      </c>
      <c r="B17" s="3"/>
      <c r="C17" s="3"/>
      <c r="D17" s="3"/>
      <c r="E17" s="3"/>
      <c r="F17" s="3"/>
      <c r="G17" s="8" t="str">
        <f t="shared" si="0"/>
        <v/>
      </c>
      <c r="H17" s="8" t="str">
        <f t="shared" si="1"/>
        <v/>
      </c>
    </row>
    <row r="18" spans="1:8" x14ac:dyDescent="0.55000000000000004">
      <c r="A18" s="7" t="s">
        <v>387</v>
      </c>
      <c r="B18" s="3"/>
      <c r="C18" s="3"/>
      <c r="D18" s="3"/>
      <c r="E18" s="3"/>
      <c r="F18" s="3"/>
      <c r="G18" s="8" t="str">
        <f t="shared" si="0"/>
        <v/>
      </c>
      <c r="H18" s="8" t="str">
        <f t="shared" si="1"/>
        <v/>
      </c>
    </row>
    <row r="19" spans="1:8" x14ac:dyDescent="0.55000000000000004">
      <c r="A19" s="7" t="s">
        <v>388</v>
      </c>
      <c r="B19" s="3"/>
      <c r="C19" s="3"/>
      <c r="D19" s="3"/>
      <c r="E19" s="3"/>
      <c r="F19" s="3"/>
      <c r="G19" s="8" t="str">
        <f t="shared" si="0"/>
        <v/>
      </c>
      <c r="H19" s="8" t="str">
        <f t="shared" si="1"/>
        <v/>
      </c>
    </row>
    <row r="20" spans="1:8" x14ac:dyDescent="0.55000000000000004">
      <c r="A20" s="7" t="s">
        <v>389</v>
      </c>
      <c r="B20" s="3"/>
      <c r="C20" s="3"/>
      <c r="D20" s="3"/>
      <c r="E20" s="3"/>
      <c r="F20" s="3"/>
      <c r="G20" s="8" t="str">
        <f t="shared" si="0"/>
        <v/>
      </c>
      <c r="H20" s="8" t="str">
        <f t="shared" si="1"/>
        <v/>
      </c>
    </row>
    <row r="21" spans="1:8" x14ac:dyDescent="0.55000000000000004">
      <c r="A21" s="7" t="s">
        <v>390</v>
      </c>
      <c r="B21" s="3"/>
      <c r="C21" s="3"/>
      <c r="D21" s="3"/>
      <c r="E21" s="3"/>
      <c r="F21" s="3"/>
      <c r="G21" s="8" t="str">
        <f t="shared" si="0"/>
        <v/>
      </c>
      <c r="H21" s="8" t="str">
        <f t="shared" si="1"/>
        <v/>
      </c>
    </row>
    <row r="22" spans="1:8" x14ac:dyDescent="0.55000000000000004">
      <c r="A22" s="7" t="s">
        <v>391</v>
      </c>
      <c r="B22" s="3"/>
      <c r="C22" s="3"/>
      <c r="D22" s="3"/>
      <c r="E22" s="3"/>
      <c r="F22" s="3"/>
      <c r="G22" s="8" t="str">
        <f t="shared" si="0"/>
        <v/>
      </c>
      <c r="H22" s="8" t="str">
        <f t="shared" si="1"/>
        <v/>
      </c>
    </row>
    <row r="23" spans="1:8" x14ac:dyDescent="0.55000000000000004">
      <c r="A23" s="7" t="s">
        <v>392</v>
      </c>
      <c r="B23" s="3"/>
      <c r="C23" s="3"/>
      <c r="D23" s="3"/>
      <c r="E23" s="3"/>
      <c r="F23" s="3"/>
      <c r="G23" s="8" t="str">
        <f t="shared" si="0"/>
        <v/>
      </c>
      <c r="H23" s="8" t="str">
        <f t="shared" si="1"/>
        <v/>
      </c>
    </row>
    <row r="24" spans="1:8" x14ac:dyDescent="0.55000000000000004">
      <c r="A24" s="7" t="s">
        <v>393</v>
      </c>
      <c r="B24" s="3"/>
      <c r="C24" s="3"/>
      <c r="D24" s="3"/>
      <c r="E24" s="3"/>
      <c r="F24" s="3"/>
      <c r="G24" s="8" t="str">
        <f t="shared" si="0"/>
        <v/>
      </c>
      <c r="H24" s="8" t="str">
        <f t="shared" si="1"/>
        <v/>
      </c>
    </row>
    <row r="25" spans="1:8" x14ac:dyDescent="0.55000000000000004">
      <c r="A25" s="7" t="s">
        <v>394</v>
      </c>
      <c r="B25" s="3"/>
      <c r="C25" s="3"/>
      <c r="D25" s="3"/>
      <c r="E25" s="3"/>
      <c r="F25" s="3"/>
      <c r="G25" s="8" t="str">
        <f t="shared" si="0"/>
        <v/>
      </c>
      <c r="H25" s="8" t="str">
        <f t="shared" si="1"/>
        <v/>
      </c>
    </row>
    <row r="26" spans="1:8" x14ac:dyDescent="0.55000000000000004">
      <c r="A26" s="7" t="s">
        <v>395</v>
      </c>
      <c r="B26" s="3"/>
      <c r="C26" s="3"/>
      <c r="D26" s="3"/>
      <c r="E26" s="3"/>
      <c r="F26" s="3"/>
      <c r="G26" s="8" t="str">
        <f t="shared" si="0"/>
        <v/>
      </c>
      <c r="H26" s="8" t="str">
        <f t="shared" si="1"/>
        <v/>
      </c>
    </row>
    <row r="27" spans="1:8" x14ac:dyDescent="0.55000000000000004">
      <c r="A27" s="7" t="s">
        <v>396</v>
      </c>
      <c r="B27" s="3"/>
      <c r="C27" s="3"/>
      <c r="D27" s="3"/>
      <c r="E27" s="3"/>
      <c r="F27" s="3"/>
      <c r="G27" s="8" t="str">
        <f t="shared" si="0"/>
        <v/>
      </c>
      <c r="H27" s="8" t="str">
        <f t="shared" si="1"/>
        <v/>
      </c>
    </row>
    <row r="28" spans="1:8" x14ac:dyDescent="0.55000000000000004">
      <c r="A28" s="7" t="s">
        <v>397</v>
      </c>
      <c r="B28" s="3"/>
      <c r="C28" s="3"/>
      <c r="D28" s="3"/>
      <c r="E28" s="3"/>
      <c r="F28" s="3"/>
      <c r="G28" s="8" t="str">
        <f t="shared" si="0"/>
        <v/>
      </c>
      <c r="H28" s="8" t="str">
        <f t="shared" si="1"/>
        <v/>
      </c>
    </row>
    <row r="29" spans="1:8" x14ac:dyDescent="0.55000000000000004">
      <c r="A29" s="7" t="s">
        <v>398</v>
      </c>
      <c r="B29" s="3"/>
      <c r="C29" s="3"/>
      <c r="D29" s="3"/>
      <c r="E29" s="3"/>
      <c r="F29" s="3"/>
      <c r="G29" s="8" t="str">
        <f t="shared" si="0"/>
        <v/>
      </c>
      <c r="H29" s="8" t="str">
        <f t="shared" si="1"/>
        <v/>
      </c>
    </row>
    <row r="30" spans="1:8" x14ac:dyDescent="0.55000000000000004">
      <c r="A30" s="7" t="s">
        <v>399</v>
      </c>
      <c r="B30" s="3"/>
      <c r="C30" s="3"/>
      <c r="D30" s="3"/>
      <c r="E30" s="3"/>
      <c r="F30" s="3"/>
      <c r="G30" s="8" t="str">
        <f t="shared" si="0"/>
        <v/>
      </c>
      <c r="H30" s="8" t="str">
        <f t="shared" si="1"/>
        <v/>
      </c>
    </row>
    <row r="31" spans="1:8" x14ac:dyDescent="0.55000000000000004">
      <c r="A31" s="7" t="s">
        <v>400</v>
      </c>
      <c r="B31" s="3"/>
      <c r="C31" s="3"/>
      <c r="D31" s="3"/>
      <c r="E31" s="3"/>
      <c r="F31" s="3"/>
      <c r="G31" s="8" t="str">
        <f t="shared" si="0"/>
        <v/>
      </c>
      <c r="H31" s="8" t="str">
        <f t="shared" si="1"/>
        <v/>
      </c>
    </row>
    <row r="32" spans="1:8" x14ac:dyDescent="0.55000000000000004">
      <c r="A32" s="7" t="s">
        <v>401</v>
      </c>
      <c r="B32" s="3"/>
      <c r="C32" s="3"/>
      <c r="D32" s="3"/>
      <c r="E32" s="3"/>
      <c r="F32" s="3"/>
      <c r="G32" s="8" t="str">
        <f t="shared" si="0"/>
        <v/>
      </c>
      <c r="H32" s="8" t="str">
        <f t="shared" si="1"/>
        <v/>
      </c>
    </row>
    <row r="33" spans="1:8" x14ac:dyDescent="0.55000000000000004">
      <c r="A33" s="7" t="s">
        <v>402</v>
      </c>
      <c r="B33" s="3"/>
      <c r="C33" s="3"/>
      <c r="D33" s="3"/>
      <c r="E33" s="3"/>
      <c r="F33" s="3"/>
      <c r="G33" s="8" t="str">
        <f t="shared" si="0"/>
        <v/>
      </c>
      <c r="H33" s="8" t="str">
        <f t="shared" si="1"/>
        <v/>
      </c>
    </row>
    <row r="36" spans="1:8" ht="15.3" x14ac:dyDescent="0.55000000000000004">
      <c r="A36" s="5" t="s">
        <v>403</v>
      </c>
    </row>
    <row r="37" spans="1:8" x14ac:dyDescent="0.55000000000000004">
      <c r="A37" s="8" t="s">
        <v>404</v>
      </c>
      <c r="B37" s="8" t="s">
        <v>405</v>
      </c>
      <c r="C37" s="8" t="str">
        <f>IF(COUNT(G4:G33)&gt;0,AVERAGE(G4:G33),"-")</f>
        <v>-</v>
      </c>
      <c r="D37" s="8" t="s">
        <v>406</v>
      </c>
      <c r="E37" s="8" t="str">
        <f>IF(C37="-","⚪",IF(C37&lt;=4,"✅","❌"))</f>
        <v>⚪</v>
      </c>
    </row>
  </sheetData>
  <mergeCells count="1">
    <mergeCell ref="A1:H1"/>
  </mergeCells>
  <dataValidations count="1">
    <dataValidation type="list" allowBlank="1" sqref="E4:E33" xr:uid="{00000000-0002-0000-0700-000000000000}">
      <formula1>"Crítica,Alta,Media,Baja"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zoomScaleNormal="100" workbookViewId="0">
      <selection activeCell="E6" sqref="E6"/>
    </sheetView>
  </sheetViews>
  <sheetFormatPr baseColWidth="10" defaultColWidth="8.68359375" defaultRowHeight="14.4" x14ac:dyDescent="0.55000000000000004"/>
  <cols>
    <col min="1" max="1" width="10.578125" bestFit="1" customWidth="1"/>
    <col min="2" max="2" width="25.734375" bestFit="1" customWidth="1"/>
    <col min="3" max="3" width="45.26171875" bestFit="1" customWidth="1"/>
    <col min="4" max="4" width="8.47265625" bestFit="1" customWidth="1"/>
    <col min="5" max="5" width="21.20703125" bestFit="1" customWidth="1"/>
    <col min="6" max="6" width="5.05078125" bestFit="1" customWidth="1"/>
  </cols>
  <sheetData>
    <row r="1" spans="1:6" ht="19.8" x14ac:dyDescent="0.65">
      <c r="A1" s="2" t="s">
        <v>407</v>
      </c>
      <c r="B1" s="2"/>
      <c r="C1" s="2"/>
      <c r="D1" s="2"/>
      <c r="E1" s="2"/>
      <c r="F1" s="2"/>
    </row>
    <row r="3" spans="1:6" x14ac:dyDescent="0.55000000000000004">
      <c r="A3" t="s">
        <v>408</v>
      </c>
      <c r="B3" s="3"/>
    </row>
    <row r="5" spans="1:6" x14ac:dyDescent="0.55000000000000004">
      <c r="A5" s="11" t="s">
        <v>321</v>
      </c>
      <c r="B5" s="11" t="s">
        <v>409</v>
      </c>
      <c r="C5" s="11" t="s">
        <v>410</v>
      </c>
      <c r="D5" s="11" t="s">
        <v>411</v>
      </c>
      <c r="E5" s="11" t="s">
        <v>412</v>
      </c>
      <c r="F5" s="11" t="s">
        <v>413</v>
      </c>
    </row>
    <row r="6" spans="1:6" x14ac:dyDescent="0.55000000000000004">
      <c r="A6" s="7">
        <v>1</v>
      </c>
      <c r="B6" s="7" t="s">
        <v>414</v>
      </c>
      <c r="C6" s="7" t="s">
        <v>415</v>
      </c>
      <c r="D6" s="3"/>
      <c r="E6" s="3"/>
      <c r="F6" s="7">
        <v>15</v>
      </c>
    </row>
    <row r="7" spans="1:6" x14ac:dyDescent="0.55000000000000004">
      <c r="A7" s="7">
        <v>2</v>
      </c>
      <c r="B7" s="7" t="s">
        <v>416</v>
      </c>
      <c r="C7" s="7" t="s">
        <v>417</v>
      </c>
      <c r="D7" s="3"/>
      <c r="E7" s="3"/>
      <c r="F7" s="7">
        <v>15</v>
      </c>
    </row>
    <row r="8" spans="1:6" x14ac:dyDescent="0.55000000000000004">
      <c r="A8" s="7">
        <v>3</v>
      </c>
      <c r="B8" s="7" t="s">
        <v>418</v>
      </c>
      <c r="C8" s="7" t="s">
        <v>419</v>
      </c>
      <c r="D8" s="3"/>
      <c r="E8" s="3"/>
      <c r="F8" s="7">
        <v>10</v>
      </c>
    </row>
    <row r="9" spans="1:6" x14ac:dyDescent="0.55000000000000004">
      <c r="A9" s="7">
        <v>4</v>
      </c>
      <c r="B9" s="7" t="s">
        <v>420</v>
      </c>
      <c r="C9" s="7" t="s">
        <v>421</v>
      </c>
      <c r="D9" s="3"/>
      <c r="E9" s="3"/>
      <c r="F9" s="7">
        <v>15</v>
      </c>
    </row>
    <row r="10" spans="1:6" x14ac:dyDescent="0.55000000000000004">
      <c r="A10" s="7">
        <v>5</v>
      </c>
      <c r="B10" s="7" t="s">
        <v>422</v>
      </c>
      <c r="C10" s="7" t="s">
        <v>423</v>
      </c>
      <c r="D10" s="3"/>
      <c r="E10" s="3"/>
      <c r="F10" s="7">
        <v>15</v>
      </c>
    </row>
    <row r="11" spans="1:6" x14ac:dyDescent="0.55000000000000004">
      <c r="A11" s="7">
        <v>6</v>
      </c>
      <c r="B11" s="7" t="s">
        <v>424</v>
      </c>
      <c r="C11" s="7" t="s">
        <v>425</v>
      </c>
      <c r="D11" s="3"/>
      <c r="E11" s="3"/>
      <c r="F11" s="7">
        <v>10</v>
      </c>
    </row>
    <row r="12" spans="1:6" x14ac:dyDescent="0.55000000000000004">
      <c r="A12" s="7">
        <v>7</v>
      </c>
      <c r="B12" s="7" t="s">
        <v>426</v>
      </c>
      <c r="C12" s="7" t="s">
        <v>427</v>
      </c>
      <c r="D12" s="3"/>
      <c r="E12" s="3"/>
      <c r="F12" s="7">
        <v>10</v>
      </c>
    </row>
    <row r="13" spans="1:6" x14ac:dyDescent="0.55000000000000004">
      <c r="A13" s="7">
        <v>8</v>
      </c>
      <c r="B13" s="7" t="s">
        <v>428</v>
      </c>
      <c r="C13" s="7" t="s">
        <v>429</v>
      </c>
      <c r="D13" s="3"/>
      <c r="E13" s="3"/>
      <c r="F13" s="7">
        <v>10</v>
      </c>
    </row>
    <row r="16" spans="1:6" ht="15.3" x14ac:dyDescent="0.55000000000000004">
      <c r="A16" s="5" t="s">
        <v>430</v>
      </c>
    </row>
    <row r="17" spans="1:5" x14ac:dyDescent="0.55000000000000004">
      <c r="A17" s="8" t="s">
        <v>431</v>
      </c>
      <c r="B17" s="8" t="s">
        <v>432</v>
      </c>
      <c r="C17" s="8" t="str">
        <f>IF(COUNTA(D6:D13)&gt;0,(SUMPRODUCT((D6:D13="Sí")*F6:F13)+SUMPRODUCT((D6:D13="Parcial")*F6:F13*0.5))/SUM(F6:F13)*100,"-")</f>
        <v>-</v>
      </c>
      <c r="D17" s="8" t="s">
        <v>29</v>
      </c>
      <c r="E17" s="8" t="str">
        <f>IF(C17="-","⚪",IF(C17&gt;=90,"✅","❌"))</f>
        <v>⚪</v>
      </c>
    </row>
  </sheetData>
  <mergeCells count="1">
    <mergeCell ref="A1:F1"/>
  </mergeCells>
  <dataValidations count="1">
    <dataValidation type="list" allowBlank="1" sqref="D6:D13" xr:uid="{00000000-0002-0000-0800-000000000000}">
      <formula1>"Sí,Parcial,No"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8"/>
  <sheetViews>
    <sheetView topLeftCell="A30" zoomScaleNormal="100" workbookViewId="0">
      <selection sqref="A1:F1"/>
    </sheetView>
  </sheetViews>
  <sheetFormatPr baseColWidth="10" defaultColWidth="8.68359375" defaultRowHeight="14.4" x14ac:dyDescent="0.55000000000000004"/>
  <cols>
    <col min="1" max="1" width="6" customWidth="1"/>
    <col min="2" max="2" width="10" customWidth="1"/>
    <col min="3" max="3" width="38" customWidth="1"/>
    <col min="4" max="5" width="14" customWidth="1"/>
    <col min="6" max="6" width="10" customWidth="1"/>
  </cols>
  <sheetData>
    <row r="1" spans="1:6" ht="19.8" x14ac:dyDescent="0.65">
      <c r="A1" s="2" t="s">
        <v>433</v>
      </c>
      <c r="B1" s="2"/>
      <c r="C1" s="2"/>
      <c r="D1" s="2"/>
      <c r="E1" s="2"/>
      <c r="F1" s="2"/>
    </row>
    <row r="3" spans="1:6" x14ac:dyDescent="0.55000000000000004">
      <c r="A3" t="s">
        <v>2</v>
      </c>
      <c r="B3" s="3"/>
      <c r="D3" t="s">
        <v>3</v>
      </c>
      <c r="E3" s="3"/>
    </row>
    <row r="4" spans="1:6" x14ac:dyDescent="0.55000000000000004">
      <c r="A4" s="4" t="s">
        <v>434</v>
      </c>
    </row>
    <row r="6" spans="1:6" x14ac:dyDescent="0.55000000000000004">
      <c r="A6" s="11" t="s">
        <v>321</v>
      </c>
      <c r="B6" s="11" t="s">
        <v>10</v>
      </c>
      <c r="C6" s="11" t="s">
        <v>11</v>
      </c>
      <c r="D6" s="11" t="s">
        <v>8</v>
      </c>
      <c r="E6" s="11" t="s">
        <v>12</v>
      </c>
      <c r="F6" s="11" t="s">
        <v>13</v>
      </c>
    </row>
    <row r="7" spans="1:6" x14ac:dyDescent="0.55000000000000004">
      <c r="A7" s="1" t="s">
        <v>5</v>
      </c>
      <c r="B7" s="1"/>
      <c r="C7" s="1"/>
      <c r="D7" s="1"/>
      <c r="E7" s="1"/>
      <c r="F7" s="1"/>
    </row>
    <row r="8" spans="1:6" x14ac:dyDescent="0.55000000000000004">
      <c r="A8" s="7">
        <v>1</v>
      </c>
      <c r="B8" s="7" t="s">
        <v>15</v>
      </c>
      <c r="C8" s="7" t="s">
        <v>16</v>
      </c>
      <c r="D8" s="8" t="str">
        <f>'Registro Semanal'!G8</f>
        <v>-</v>
      </c>
      <c r="E8" s="7" t="s">
        <v>17</v>
      </c>
      <c r="F8" s="8" t="str">
        <f>'Registro Semanal'!I8</f>
        <v>⚪</v>
      </c>
    </row>
    <row r="9" spans="1:6" x14ac:dyDescent="0.55000000000000004">
      <c r="A9" s="7">
        <v>2</v>
      </c>
      <c r="B9" s="7" t="s">
        <v>19</v>
      </c>
      <c r="C9" s="7" t="s">
        <v>435</v>
      </c>
      <c r="D9" s="8" t="str">
        <f>'Registro Semanal'!G9</f>
        <v>-</v>
      </c>
      <c r="E9" s="7" t="s">
        <v>21</v>
      </c>
      <c r="F9" s="8" t="str">
        <f>'Registro Semanal'!I9</f>
        <v>⚪</v>
      </c>
    </row>
    <row r="10" spans="1:6" x14ac:dyDescent="0.55000000000000004">
      <c r="A10" s="7">
        <v>3</v>
      </c>
      <c r="B10" s="7" t="s">
        <v>210</v>
      </c>
      <c r="C10" s="7" t="s">
        <v>436</v>
      </c>
      <c r="D10" s="8" t="str">
        <f>'Contacto Pacientes'!C58</f>
        <v>-</v>
      </c>
      <c r="E10" s="7" t="s">
        <v>212</v>
      </c>
      <c r="F10" s="8" t="str">
        <f>'Contacto Pacientes'!E58</f>
        <v>⚪</v>
      </c>
    </row>
    <row r="11" spans="1:6" x14ac:dyDescent="0.55000000000000004">
      <c r="A11" s="7">
        <v>4</v>
      </c>
      <c r="B11" s="7" t="s">
        <v>23</v>
      </c>
      <c r="C11" s="7" t="s">
        <v>437</v>
      </c>
      <c r="D11" s="8" t="str">
        <f>'Registro Semanal'!G10</f>
        <v>-</v>
      </c>
      <c r="E11" s="7" t="s">
        <v>25</v>
      </c>
      <c r="F11" s="8" t="str">
        <f>'Registro Semanal'!I10</f>
        <v>⚪</v>
      </c>
    </row>
    <row r="12" spans="1:6" x14ac:dyDescent="0.55000000000000004">
      <c r="A12" s="7">
        <v>5</v>
      </c>
      <c r="B12" s="7" t="s">
        <v>27</v>
      </c>
      <c r="C12" s="7" t="s">
        <v>28</v>
      </c>
      <c r="D12" s="8" t="str">
        <f>'Registro Semanal'!G11</f>
        <v>-</v>
      </c>
      <c r="E12" s="7" t="s">
        <v>29</v>
      </c>
      <c r="F12" s="8" t="str">
        <f>'Registro Semanal'!I11</f>
        <v>⚪</v>
      </c>
    </row>
    <row r="13" spans="1:6" x14ac:dyDescent="0.55000000000000004">
      <c r="A13" s="1" t="s">
        <v>33</v>
      </c>
      <c r="B13" s="1"/>
      <c r="C13" s="1"/>
      <c r="D13" s="1"/>
      <c r="E13" s="1"/>
      <c r="F13" s="1"/>
    </row>
    <row r="14" spans="1:6" x14ac:dyDescent="0.55000000000000004">
      <c r="A14" s="7">
        <v>6</v>
      </c>
      <c r="B14" s="7" t="s">
        <v>35</v>
      </c>
      <c r="C14" s="7" t="s">
        <v>36</v>
      </c>
      <c r="D14" s="8" t="str">
        <f>'Registro Semanal'!G19</f>
        <v>-</v>
      </c>
      <c r="E14" s="7" t="s">
        <v>29</v>
      </c>
      <c r="F14" s="8" t="str">
        <f>'Registro Semanal'!I19</f>
        <v>⚪</v>
      </c>
    </row>
    <row r="15" spans="1:6" x14ac:dyDescent="0.55000000000000004">
      <c r="A15" s="7">
        <v>7</v>
      </c>
      <c r="B15" s="7" t="s">
        <v>38</v>
      </c>
      <c r="C15" s="7" t="s">
        <v>39</v>
      </c>
      <c r="D15" s="8" t="str">
        <f>'Registro Semanal'!G20</f>
        <v>-</v>
      </c>
      <c r="E15" s="7" t="s">
        <v>29</v>
      </c>
      <c r="F15" s="8" t="str">
        <f>'Registro Semanal'!I20</f>
        <v>⚪</v>
      </c>
    </row>
    <row r="16" spans="1:6" x14ac:dyDescent="0.55000000000000004">
      <c r="A16" s="7">
        <v>8</v>
      </c>
      <c r="B16" s="7" t="s">
        <v>41</v>
      </c>
      <c r="C16" s="7" t="s">
        <v>42</v>
      </c>
      <c r="D16" s="8" t="str">
        <f>'Registro Semanal'!G21</f>
        <v>-</v>
      </c>
      <c r="E16" s="7" t="s">
        <v>43</v>
      </c>
      <c r="F16" s="8" t="str">
        <f>'Registro Semanal'!I21</f>
        <v>⚪</v>
      </c>
    </row>
    <row r="17" spans="1:6" x14ac:dyDescent="0.55000000000000004">
      <c r="A17" s="7">
        <v>9</v>
      </c>
      <c r="B17" s="7" t="s">
        <v>45</v>
      </c>
      <c r="C17" s="7" t="s">
        <v>438</v>
      </c>
      <c r="D17" s="8" t="str">
        <f>'Registro Semanal'!G22</f>
        <v>-</v>
      </c>
      <c r="E17" s="7" t="s">
        <v>29</v>
      </c>
      <c r="F17" s="8" t="str">
        <f>'Registro Semanal'!I22</f>
        <v>⚪</v>
      </c>
    </row>
    <row r="18" spans="1:6" x14ac:dyDescent="0.55000000000000004">
      <c r="A18" s="1" t="s">
        <v>49</v>
      </c>
      <c r="B18" s="1"/>
      <c r="C18" s="1"/>
      <c r="D18" s="1"/>
      <c r="E18" s="1"/>
      <c r="F18" s="1"/>
    </row>
    <row r="19" spans="1:6" x14ac:dyDescent="0.55000000000000004">
      <c r="A19" s="7">
        <v>10</v>
      </c>
      <c r="B19" s="7" t="s">
        <v>51</v>
      </c>
      <c r="C19" s="7" t="s">
        <v>52</v>
      </c>
      <c r="D19" s="8" t="str">
        <f>'Registro Semanal'!G29</f>
        <v>-</v>
      </c>
      <c r="E19" s="12">
        <f>100%</f>
        <v>1</v>
      </c>
      <c r="F19" s="8" t="str">
        <f>'Registro Semanal'!I29</f>
        <v>⚪</v>
      </c>
    </row>
    <row r="20" spans="1:6" x14ac:dyDescent="0.55000000000000004">
      <c r="A20" s="7">
        <v>11</v>
      </c>
      <c r="B20" s="7" t="s">
        <v>54</v>
      </c>
      <c r="C20" s="7" t="s">
        <v>439</v>
      </c>
      <c r="D20" s="8">
        <f>'Registro Semanal'!G30</f>
        <v>0</v>
      </c>
      <c r="E20" s="7" t="s">
        <v>56</v>
      </c>
      <c r="F20" s="8" t="str">
        <f>'Registro Semanal'!I30</f>
        <v>✅</v>
      </c>
    </row>
    <row r="21" spans="1:6" x14ac:dyDescent="0.55000000000000004">
      <c r="A21" s="7">
        <v>12</v>
      </c>
      <c r="B21" s="7" t="s">
        <v>58</v>
      </c>
      <c r="C21" s="7" t="s">
        <v>59</v>
      </c>
      <c r="D21" s="8" t="str">
        <f>'Registro Semanal'!G31</f>
        <v>-</v>
      </c>
      <c r="E21" s="7" t="s">
        <v>60</v>
      </c>
      <c r="F21" s="8" t="str">
        <f>'Registro Semanal'!I31</f>
        <v>⚪</v>
      </c>
    </row>
    <row r="22" spans="1:6" x14ac:dyDescent="0.55000000000000004">
      <c r="A22" s="7">
        <v>13</v>
      </c>
      <c r="B22" s="7" t="s">
        <v>62</v>
      </c>
      <c r="C22" s="7" t="s">
        <v>63</v>
      </c>
      <c r="D22" s="8" t="str">
        <f>'Registro Semanal'!G32</f>
        <v>-</v>
      </c>
      <c r="E22" s="7" t="s">
        <v>64</v>
      </c>
      <c r="F22" s="8" t="str">
        <f>'Registro Semanal'!I32</f>
        <v>⚪</v>
      </c>
    </row>
    <row r="23" spans="1:6" x14ac:dyDescent="0.55000000000000004">
      <c r="A23" s="7">
        <v>14</v>
      </c>
      <c r="B23" s="7" t="s">
        <v>66</v>
      </c>
      <c r="C23" s="7" t="s">
        <v>67</v>
      </c>
      <c r="D23" s="8">
        <f>'Registro Semanal'!G33</f>
        <v>0</v>
      </c>
      <c r="E23" s="7" t="s">
        <v>68</v>
      </c>
      <c r="F23" s="8" t="str">
        <f>'Registro Semanal'!I33</f>
        <v>✅</v>
      </c>
    </row>
    <row r="24" spans="1:6" x14ac:dyDescent="0.55000000000000004">
      <c r="A24" s="1" t="s">
        <v>440</v>
      </c>
      <c r="B24" s="1"/>
      <c r="C24" s="1"/>
      <c r="D24" s="1"/>
      <c r="E24" s="1"/>
      <c r="F24" s="1"/>
    </row>
    <row r="25" spans="1:6" x14ac:dyDescent="0.55000000000000004">
      <c r="A25" s="7">
        <v>15</v>
      </c>
      <c r="B25" s="7" t="s">
        <v>138</v>
      </c>
      <c r="C25" s="7" t="s">
        <v>139</v>
      </c>
      <c r="D25" s="8">
        <f>'Tracking Action Items'!C49</f>
        <v>0</v>
      </c>
      <c r="E25" s="7" t="s">
        <v>140</v>
      </c>
      <c r="F25" s="8" t="str">
        <f>'Tracking Action Items'!E49</f>
        <v>✅</v>
      </c>
    </row>
    <row r="26" spans="1:6" x14ac:dyDescent="0.55000000000000004">
      <c r="A26" s="7">
        <v>16</v>
      </c>
      <c r="B26" s="7" t="s">
        <v>141</v>
      </c>
      <c r="C26" s="7" t="s">
        <v>142</v>
      </c>
      <c r="D26" s="8" t="str">
        <f>'Tracking Action Items'!C50</f>
        <v>-</v>
      </c>
      <c r="E26" s="7" t="s">
        <v>29</v>
      </c>
      <c r="F26" s="8" t="str">
        <f>'Tracking Action Items'!E50</f>
        <v>⚪</v>
      </c>
    </row>
    <row r="27" spans="1:6" x14ac:dyDescent="0.55000000000000004">
      <c r="A27" s="7">
        <v>17</v>
      </c>
      <c r="B27" s="7" t="s">
        <v>143</v>
      </c>
      <c r="C27" s="7" t="s">
        <v>441</v>
      </c>
      <c r="D27" s="8">
        <f ca="1">'Tracking Action Items'!C51</f>
        <v>0</v>
      </c>
      <c r="E27" s="7">
        <f>0</f>
        <v>0</v>
      </c>
      <c r="F27" s="8" t="str">
        <f ca="1">'Tracking Action Items'!E51</f>
        <v>✅</v>
      </c>
    </row>
    <row r="28" spans="1:6" x14ac:dyDescent="0.55000000000000004">
      <c r="A28" s="7">
        <v>18</v>
      </c>
      <c r="B28" s="7" t="s">
        <v>145</v>
      </c>
      <c r="C28" s="7" t="s">
        <v>442</v>
      </c>
      <c r="D28" s="8" t="str">
        <f>'Tracking Action Items'!C52</f>
        <v>-</v>
      </c>
      <c r="E28" s="7" t="s">
        <v>147</v>
      </c>
      <c r="F28" s="8" t="str">
        <f>'Tracking Action Items'!E52</f>
        <v>⚪</v>
      </c>
    </row>
    <row r="29" spans="1:6" x14ac:dyDescent="0.55000000000000004">
      <c r="A29" s="7">
        <v>19</v>
      </c>
      <c r="B29" s="7" t="s">
        <v>148</v>
      </c>
      <c r="C29" s="7" t="s">
        <v>443</v>
      </c>
      <c r="D29" s="8" t="str">
        <f>'Tracking Action Items'!C53</f>
        <v>-</v>
      </c>
      <c r="E29" s="7" t="s">
        <v>150</v>
      </c>
      <c r="F29" s="8" t="str">
        <f>'Tracking Action Items'!E53</f>
        <v>⚪</v>
      </c>
    </row>
    <row r="30" spans="1:6" x14ac:dyDescent="0.55000000000000004">
      <c r="A30" s="7">
        <v>20</v>
      </c>
      <c r="B30" s="7" t="s">
        <v>431</v>
      </c>
      <c r="C30" s="7" t="s">
        <v>432</v>
      </c>
      <c r="D30" s="8" t="str">
        <f>'Audit Readiness'!C17</f>
        <v>-</v>
      </c>
      <c r="E30" s="7" t="s">
        <v>29</v>
      </c>
      <c r="F30" s="8" t="str">
        <f>'Audit Readiness'!E17</f>
        <v>⚪</v>
      </c>
    </row>
    <row r="31" spans="1:6" x14ac:dyDescent="0.55000000000000004">
      <c r="A31" s="1" t="s">
        <v>444</v>
      </c>
      <c r="B31" s="1"/>
      <c r="C31" s="1"/>
      <c r="D31" s="1"/>
      <c r="E31" s="1"/>
      <c r="F31" s="1"/>
    </row>
    <row r="32" spans="1:6" x14ac:dyDescent="0.55000000000000004">
      <c r="A32" s="7">
        <v>21</v>
      </c>
      <c r="B32" s="7" t="s">
        <v>245</v>
      </c>
      <c r="C32" s="7" t="s">
        <v>445</v>
      </c>
      <c r="D32" s="8" t="str">
        <f>'Start-up Tracker'!C27</f>
        <v>-</v>
      </c>
      <c r="E32" s="7" t="s">
        <v>446</v>
      </c>
      <c r="F32" s="8" t="str">
        <f>'Start-up Tracker'!E27</f>
        <v>⚪</v>
      </c>
    </row>
    <row r="33" spans="1:6" x14ac:dyDescent="0.55000000000000004">
      <c r="A33" s="7">
        <v>22</v>
      </c>
      <c r="B33" s="7" t="s">
        <v>248</v>
      </c>
      <c r="C33" s="7" t="s">
        <v>249</v>
      </c>
      <c r="D33" s="8" t="str">
        <f>'Start-up Tracker'!C28</f>
        <v>-</v>
      </c>
      <c r="E33" s="7" t="s">
        <v>25</v>
      </c>
      <c r="F33" s="8" t="str">
        <f>'Start-up Tracker'!E28</f>
        <v>⚪</v>
      </c>
    </row>
    <row r="34" spans="1:6" x14ac:dyDescent="0.55000000000000004">
      <c r="A34" s="7">
        <v>23</v>
      </c>
      <c r="B34" s="7" t="s">
        <v>250</v>
      </c>
      <c r="C34" s="7" t="s">
        <v>251</v>
      </c>
      <c r="D34" s="8" t="str">
        <f>'Start-up Tracker'!C29</f>
        <v>-</v>
      </c>
      <c r="E34" s="7" t="s">
        <v>29</v>
      </c>
      <c r="F34" s="8" t="str">
        <f>'Start-up Tracker'!E29</f>
        <v>⚪</v>
      </c>
    </row>
    <row r="35" spans="1:6" x14ac:dyDescent="0.55000000000000004">
      <c r="A35" s="7">
        <v>24</v>
      </c>
      <c r="B35" s="7" t="s">
        <v>252</v>
      </c>
      <c r="C35" s="7" t="s">
        <v>447</v>
      </c>
      <c r="D35" s="8" t="str">
        <f>'Start-up Tracker'!C30</f>
        <v>-</v>
      </c>
      <c r="E35" s="7" t="s">
        <v>254</v>
      </c>
      <c r="F35" s="8" t="str">
        <f>'Start-up Tracker'!E30</f>
        <v>⚪</v>
      </c>
    </row>
    <row r="36" spans="1:6" x14ac:dyDescent="0.55000000000000004">
      <c r="A36" s="7">
        <v>25</v>
      </c>
      <c r="B36" s="7" t="s">
        <v>255</v>
      </c>
      <c r="C36" s="7" t="s">
        <v>256</v>
      </c>
      <c r="D36" s="8">
        <f>'Start-up Tracker'!C31</f>
        <v>20</v>
      </c>
      <c r="E36" s="7" t="s">
        <v>257</v>
      </c>
      <c r="F36" s="8" t="str">
        <f>'Start-up Tracker'!E31</f>
        <v>ℹ️</v>
      </c>
    </row>
    <row r="37" spans="1:6" x14ac:dyDescent="0.55000000000000004">
      <c r="A37" s="7">
        <v>26</v>
      </c>
      <c r="B37" s="7" t="s">
        <v>259</v>
      </c>
      <c r="C37" s="7" t="s">
        <v>260</v>
      </c>
      <c r="D37" s="8">
        <f>'Start-up Tracker'!C32</f>
        <v>0</v>
      </c>
      <c r="E37" s="7" t="s">
        <v>257</v>
      </c>
      <c r="F37" s="8" t="str">
        <f>'Start-up Tracker'!E32</f>
        <v>ℹ️</v>
      </c>
    </row>
    <row r="38" spans="1:6" x14ac:dyDescent="0.55000000000000004">
      <c r="A38" s="1" t="s">
        <v>448</v>
      </c>
      <c r="B38" s="1"/>
      <c r="C38" s="1"/>
      <c r="D38" s="1"/>
      <c r="E38" s="1"/>
      <c r="F38" s="1"/>
    </row>
    <row r="39" spans="1:6" x14ac:dyDescent="0.55000000000000004">
      <c r="A39" s="7">
        <v>27</v>
      </c>
      <c r="B39" s="7" t="s">
        <v>362</v>
      </c>
      <c r="C39" s="7" t="s">
        <v>449</v>
      </c>
      <c r="D39" s="8" t="str">
        <f>'Evaluación Sponsor'!C27</f>
        <v>-</v>
      </c>
      <c r="E39" s="7" t="s">
        <v>364</v>
      </c>
      <c r="F39" s="8" t="str">
        <f>'Evaluación Sponsor'!E27</f>
        <v>⚪</v>
      </c>
    </row>
    <row r="40" spans="1:6" x14ac:dyDescent="0.55000000000000004">
      <c r="A40" s="7">
        <v>28</v>
      </c>
      <c r="B40" s="7" t="s">
        <v>317</v>
      </c>
      <c r="C40" s="7" t="s">
        <v>450</v>
      </c>
      <c r="D40" s="8" t="str">
        <f>'Consultas CRA-Sponsor'!C57</f>
        <v>-</v>
      </c>
      <c r="E40" s="7" t="s">
        <v>29</v>
      </c>
      <c r="F40" s="8" t="str">
        <f>'Consultas CRA-Sponsor'!E57</f>
        <v>⚪</v>
      </c>
    </row>
    <row r="41" spans="1:6" x14ac:dyDescent="0.55000000000000004">
      <c r="A41" s="7">
        <v>29</v>
      </c>
      <c r="B41" s="7" t="s">
        <v>365</v>
      </c>
      <c r="C41" s="7" t="s">
        <v>451</v>
      </c>
      <c r="D41" s="8" t="str">
        <f>'Evaluación Sponsor'!C28</f>
        <v>-</v>
      </c>
      <c r="E41" s="7" t="s">
        <v>367</v>
      </c>
      <c r="F41" s="8" t="str">
        <f>'Evaluación Sponsor'!E28</f>
        <v>⚪</v>
      </c>
    </row>
    <row r="42" spans="1:6" x14ac:dyDescent="0.55000000000000004">
      <c r="A42" s="1" t="s">
        <v>452</v>
      </c>
      <c r="B42" s="1"/>
      <c r="C42" s="1"/>
      <c r="D42" s="1"/>
      <c r="E42" s="1"/>
      <c r="F42" s="1"/>
    </row>
    <row r="43" spans="1:6" x14ac:dyDescent="0.55000000000000004">
      <c r="A43" s="7">
        <v>30</v>
      </c>
      <c r="B43" s="7" t="s">
        <v>332</v>
      </c>
      <c r="C43" s="7" t="s">
        <v>453</v>
      </c>
      <c r="D43" s="8" t="str">
        <f>'Gestión Equipo'!G23</f>
        <v>≤18%</v>
      </c>
      <c r="E43" s="7" t="s">
        <v>334</v>
      </c>
      <c r="F43" s="8">
        <f>'Gestión Equipo'!I23</f>
        <v>0</v>
      </c>
    </row>
    <row r="44" spans="1:6" x14ac:dyDescent="0.55000000000000004">
      <c r="A44" s="7">
        <v>31</v>
      </c>
      <c r="B44" s="7" t="s">
        <v>336</v>
      </c>
      <c r="C44" s="7" t="s">
        <v>454</v>
      </c>
      <c r="D44" s="8" t="str">
        <f>'Gestión Equipo'!G24</f>
        <v>≥80%</v>
      </c>
      <c r="E44" s="7" t="s">
        <v>338</v>
      </c>
      <c r="F44" s="8">
        <f>'Gestión Equipo'!I24</f>
        <v>0</v>
      </c>
    </row>
    <row r="45" spans="1:6" x14ac:dyDescent="0.55000000000000004">
      <c r="A45" s="7">
        <v>32</v>
      </c>
      <c r="B45" s="7" t="s">
        <v>340</v>
      </c>
      <c r="C45" s="7" t="s">
        <v>455</v>
      </c>
      <c r="D45" s="9">
        <f>'Gestión Equipo'!G25</f>
        <v>1</v>
      </c>
      <c r="E45" s="12">
        <f>100%</f>
        <v>1</v>
      </c>
      <c r="F45" s="8">
        <f>'Gestión Equipo'!I25</f>
        <v>0</v>
      </c>
    </row>
    <row r="46" spans="1:6" x14ac:dyDescent="0.55000000000000004">
      <c r="A46" s="7">
        <v>33</v>
      </c>
      <c r="B46" s="7" t="s">
        <v>343</v>
      </c>
      <c r="C46" s="7" t="s">
        <v>344</v>
      </c>
      <c r="D46" s="8" t="str">
        <f>'Gestión Equipo'!G26</f>
        <v>≤8</v>
      </c>
      <c r="E46" s="7" t="s">
        <v>345</v>
      </c>
      <c r="F46" s="8">
        <f>'Gestión Equipo'!I26</f>
        <v>0</v>
      </c>
    </row>
    <row r="47" spans="1:6" x14ac:dyDescent="0.55000000000000004">
      <c r="A47" s="7">
        <v>34</v>
      </c>
      <c r="B47" s="7" t="s">
        <v>347</v>
      </c>
      <c r="C47" s="7" t="s">
        <v>456</v>
      </c>
      <c r="D47" s="8" t="str">
        <f>'Gestión Equipo'!G27</f>
        <v>≥90%</v>
      </c>
      <c r="E47" s="7" t="s">
        <v>29</v>
      </c>
      <c r="F47" s="8">
        <f>'Gestión Equipo'!I27</f>
        <v>0</v>
      </c>
    </row>
    <row r="48" spans="1:6" x14ac:dyDescent="0.55000000000000004">
      <c r="A48" s="7">
        <v>35</v>
      </c>
      <c r="B48" s="7" t="s">
        <v>349</v>
      </c>
      <c r="C48" s="7" t="s">
        <v>457</v>
      </c>
      <c r="D48" s="8" t="str">
        <f>'Gestión Equipo'!G28</f>
        <v>2.5-3.5</v>
      </c>
      <c r="E48" s="7" t="s">
        <v>351</v>
      </c>
      <c r="F48" s="8">
        <f>'Gestión Equipo'!I28</f>
        <v>0</v>
      </c>
    </row>
    <row r="49" spans="1:6" x14ac:dyDescent="0.55000000000000004">
      <c r="A49" s="1" t="s">
        <v>71</v>
      </c>
      <c r="B49" s="1"/>
      <c r="C49" s="1"/>
      <c r="D49" s="1"/>
      <c r="E49" s="1"/>
      <c r="F49" s="1"/>
    </row>
    <row r="50" spans="1:6" x14ac:dyDescent="0.55000000000000004">
      <c r="A50" s="7">
        <v>36</v>
      </c>
      <c r="B50" s="7" t="s">
        <v>73</v>
      </c>
      <c r="C50" s="7" t="s">
        <v>74</v>
      </c>
      <c r="D50" s="8" t="str">
        <f>'Registro Semanal'!G40</f>
        <v>-</v>
      </c>
      <c r="E50" s="7" t="s">
        <v>75</v>
      </c>
      <c r="F50" s="8" t="str">
        <f>'Registro Semanal'!I40</f>
        <v>⚪</v>
      </c>
    </row>
    <row r="51" spans="1:6" x14ac:dyDescent="0.55000000000000004">
      <c r="A51" s="7">
        <v>37</v>
      </c>
      <c r="B51" s="7" t="s">
        <v>77</v>
      </c>
      <c r="C51" s="7" t="s">
        <v>78</v>
      </c>
      <c r="D51" s="8" t="str">
        <f>'Registro Semanal'!G41</f>
        <v>-</v>
      </c>
      <c r="E51" s="7" t="s">
        <v>79</v>
      </c>
      <c r="F51" s="8" t="str">
        <f>'Registro Semanal'!I41</f>
        <v>⚪</v>
      </c>
    </row>
    <row r="52" spans="1:6" x14ac:dyDescent="0.55000000000000004">
      <c r="A52" s="7">
        <v>38</v>
      </c>
      <c r="B52" s="7" t="s">
        <v>404</v>
      </c>
      <c r="C52" s="7" t="s">
        <v>458</v>
      </c>
      <c r="D52" s="8" t="str">
        <f>Contingencias!C37</f>
        <v>-</v>
      </c>
      <c r="E52" s="7" t="s">
        <v>459</v>
      </c>
      <c r="F52" s="8" t="str">
        <f>Contingencias!E37</f>
        <v>⚪</v>
      </c>
    </row>
    <row r="53" spans="1:6" x14ac:dyDescent="0.55000000000000004">
      <c r="A53" s="7">
        <v>39</v>
      </c>
      <c r="B53" s="7" t="s">
        <v>81</v>
      </c>
      <c r="C53" s="7" t="s">
        <v>82</v>
      </c>
      <c r="D53" s="8" t="str">
        <f>'Registro Semanal'!G42</f>
        <v>-</v>
      </c>
      <c r="E53" s="12">
        <f>100%</f>
        <v>1</v>
      </c>
      <c r="F53" s="8" t="str">
        <f>'Registro Semanal'!I42</f>
        <v>⚪</v>
      </c>
    </row>
    <row r="55" spans="1:6" ht="15.3" x14ac:dyDescent="0.55000000000000004">
      <c r="A55" s="5" t="s">
        <v>460</v>
      </c>
    </row>
    <row r="56" spans="1:6" x14ac:dyDescent="0.55000000000000004">
      <c r="A56" t="s">
        <v>461</v>
      </c>
      <c r="B56" s="13">
        <f ca="1">COUNTIF(F7:F50,"✅")</f>
        <v>4</v>
      </c>
    </row>
    <row r="57" spans="1:6" x14ac:dyDescent="0.55000000000000004">
      <c r="A57" t="s">
        <v>462</v>
      </c>
      <c r="B57" s="13">
        <f ca="1">COUNTIF(F7:F50,"⚠️")</f>
        <v>0</v>
      </c>
    </row>
    <row r="58" spans="1:6" x14ac:dyDescent="0.55000000000000004">
      <c r="A58" t="s">
        <v>463</v>
      </c>
      <c r="B58" s="13">
        <f ca="1">COUNTIF(F7:F50,"❌")</f>
        <v>0</v>
      </c>
    </row>
  </sheetData>
  <mergeCells count="9">
    <mergeCell ref="A31:F31"/>
    <mergeCell ref="A38:F38"/>
    <mergeCell ref="A42:F42"/>
    <mergeCell ref="A49:F49"/>
    <mergeCell ref="A1:F1"/>
    <mergeCell ref="A7:F7"/>
    <mergeCell ref="A13:F13"/>
    <mergeCell ref="A18:F18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3"/>
  <sheetViews>
    <sheetView topLeftCell="A24" zoomScaleNormal="100" workbookViewId="0">
      <selection sqref="A1:I1"/>
    </sheetView>
  </sheetViews>
  <sheetFormatPr baseColWidth="10" defaultColWidth="8.68359375" defaultRowHeight="14.4" x14ac:dyDescent="0.55000000000000004"/>
  <cols>
    <col min="1" max="1" width="10" customWidth="1"/>
    <col min="2" max="2" width="35" customWidth="1"/>
    <col min="3" max="3" width="38" customWidth="1"/>
    <col min="4" max="5" width="12" customWidth="1"/>
    <col min="6" max="7" width="10" customWidth="1"/>
    <col min="8" max="8" width="14" customWidth="1"/>
    <col min="9" max="9" width="12" customWidth="1"/>
  </cols>
  <sheetData>
    <row r="1" spans="1:9" ht="19.8" x14ac:dyDescent="0.65">
      <c r="A1" s="2" t="s">
        <v>464</v>
      </c>
      <c r="B1" s="2"/>
      <c r="C1" s="2"/>
      <c r="D1" s="2"/>
      <c r="E1" s="2"/>
      <c r="F1" s="2"/>
      <c r="G1" s="2"/>
      <c r="H1" s="2"/>
      <c r="I1" s="2"/>
    </row>
    <row r="2" spans="1:9" x14ac:dyDescent="0.55000000000000004">
      <c r="A2" s="4" t="s">
        <v>465</v>
      </c>
    </row>
    <row r="4" spans="1:9" x14ac:dyDescent="0.55000000000000004">
      <c r="A4" s="11" t="s">
        <v>10</v>
      </c>
      <c r="B4" s="11" t="s">
        <v>466</v>
      </c>
      <c r="C4" s="11" t="s">
        <v>467</v>
      </c>
      <c r="D4" s="11" t="s">
        <v>468</v>
      </c>
      <c r="E4" s="11" t="s">
        <v>12</v>
      </c>
      <c r="F4" s="11" t="s">
        <v>469</v>
      </c>
      <c r="G4" s="11" t="s">
        <v>470</v>
      </c>
      <c r="H4" s="11" t="s">
        <v>471</v>
      </c>
      <c r="I4" s="11" t="s">
        <v>90</v>
      </c>
    </row>
    <row r="5" spans="1:9" x14ac:dyDescent="0.55000000000000004">
      <c r="A5" s="7" t="s">
        <v>15</v>
      </c>
      <c r="B5" s="7" t="s">
        <v>472</v>
      </c>
      <c r="C5" s="7" t="s">
        <v>16</v>
      </c>
      <c r="D5" s="7" t="s">
        <v>473</v>
      </c>
      <c r="E5" s="7">
        <v>15</v>
      </c>
      <c r="F5" s="7" t="s">
        <v>474</v>
      </c>
      <c r="G5" s="7" t="s">
        <v>475</v>
      </c>
      <c r="H5" s="7" t="s">
        <v>476</v>
      </c>
      <c r="I5" s="7" t="s">
        <v>477</v>
      </c>
    </row>
    <row r="6" spans="1:9" x14ac:dyDescent="0.55000000000000004">
      <c r="A6" s="7" t="s">
        <v>19</v>
      </c>
      <c r="B6" s="7" t="s">
        <v>478</v>
      </c>
      <c r="C6" s="7" t="s">
        <v>435</v>
      </c>
      <c r="D6" s="7" t="s">
        <v>473</v>
      </c>
      <c r="E6" s="7">
        <v>35</v>
      </c>
      <c r="F6" s="7" t="s">
        <v>479</v>
      </c>
      <c r="G6" s="7" t="s">
        <v>475</v>
      </c>
      <c r="H6" s="7" t="s">
        <v>476</v>
      </c>
      <c r="I6" s="7" t="s">
        <v>477</v>
      </c>
    </row>
    <row r="7" spans="1:9" x14ac:dyDescent="0.55000000000000004">
      <c r="A7" s="7" t="s">
        <v>210</v>
      </c>
      <c r="B7" s="7" t="s">
        <v>480</v>
      </c>
      <c r="C7" s="7" t="s">
        <v>436</v>
      </c>
      <c r="D7" s="7" t="s">
        <v>481</v>
      </c>
      <c r="E7" s="7">
        <v>1</v>
      </c>
      <c r="F7" s="7" t="s">
        <v>474</v>
      </c>
      <c r="G7" s="7" t="s">
        <v>482</v>
      </c>
      <c r="H7" s="7" t="s">
        <v>483</v>
      </c>
      <c r="I7" s="7" t="s">
        <v>477</v>
      </c>
    </row>
    <row r="8" spans="1:9" x14ac:dyDescent="0.55000000000000004">
      <c r="A8" s="7" t="s">
        <v>23</v>
      </c>
      <c r="B8" s="7" t="s">
        <v>484</v>
      </c>
      <c r="C8" s="7" t="s">
        <v>437</v>
      </c>
      <c r="D8" s="7" t="s">
        <v>473</v>
      </c>
      <c r="E8" s="7">
        <v>85</v>
      </c>
      <c r="F8" s="7" t="s">
        <v>479</v>
      </c>
      <c r="G8" s="7" t="s">
        <v>475</v>
      </c>
      <c r="H8" s="7" t="s">
        <v>485</v>
      </c>
      <c r="I8" s="7" t="s">
        <v>477</v>
      </c>
    </row>
    <row r="9" spans="1:9" x14ac:dyDescent="0.55000000000000004">
      <c r="A9" s="7" t="s">
        <v>27</v>
      </c>
      <c r="B9" s="7" t="s">
        <v>486</v>
      </c>
      <c r="C9" s="7" t="s">
        <v>28</v>
      </c>
      <c r="D9" s="7" t="s">
        <v>473</v>
      </c>
      <c r="E9" s="7">
        <v>90</v>
      </c>
      <c r="F9" s="7" t="s">
        <v>479</v>
      </c>
      <c r="G9" s="7" t="s">
        <v>475</v>
      </c>
      <c r="H9" s="7" t="s">
        <v>476</v>
      </c>
      <c r="I9" s="7" t="s">
        <v>477</v>
      </c>
    </row>
    <row r="10" spans="1:9" x14ac:dyDescent="0.55000000000000004">
      <c r="A10" s="7" t="s">
        <v>35</v>
      </c>
      <c r="B10" s="7" t="s">
        <v>487</v>
      </c>
      <c r="C10" s="7" t="s">
        <v>36</v>
      </c>
      <c r="D10" s="7" t="s">
        <v>473</v>
      </c>
      <c r="E10" s="7">
        <v>90</v>
      </c>
      <c r="F10" s="7" t="s">
        <v>479</v>
      </c>
      <c r="G10" s="7" t="s">
        <v>475</v>
      </c>
      <c r="H10" s="7" t="s">
        <v>476</v>
      </c>
      <c r="I10" s="7" t="s">
        <v>488</v>
      </c>
    </row>
    <row r="11" spans="1:9" x14ac:dyDescent="0.55000000000000004">
      <c r="A11" s="7" t="s">
        <v>38</v>
      </c>
      <c r="B11" s="7" t="s">
        <v>489</v>
      </c>
      <c r="C11" s="7" t="s">
        <v>39</v>
      </c>
      <c r="D11" s="7" t="s">
        <v>473</v>
      </c>
      <c r="E11" s="7">
        <v>90</v>
      </c>
      <c r="F11" s="7" t="s">
        <v>479</v>
      </c>
      <c r="G11" s="7" t="s">
        <v>475</v>
      </c>
      <c r="H11" s="7" t="s">
        <v>476</v>
      </c>
      <c r="I11" s="7" t="s">
        <v>488</v>
      </c>
    </row>
    <row r="12" spans="1:9" x14ac:dyDescent="0.55000000000000004">
      <c r="A12" s="7" t="s">
        <v>41</v>
      </c>
      <c r="B12" s="7" t="s">
        <v>490</v>
      </c>
      <c r="C12" s="7" t="s">
        <v>491</v>
      </c>
      <c r="D12" s="7" t="s">
        <v>473</v>
      </c>
      <c r="E12" s="7">
        <v>95</v>
      </c>
      <c r="F12" s="7" t="s">
        <v>479</v>
      </c>
      <c r="G12" s="7" t="s">
        <v>475</v>
      </c>
      <c r="H12" s="7" t="s">
        <v>476</v>
      </c>
      <c r="I12" s="7" t="s">
        <v>488</v>
      </c>
    </row>
    <row r="13" spans="1:9" x14ac:dyDescent="0.55000000000000004">
      <c r="A13" s="7" t="s">
        <v>45</v>
      </c>
      <c r="B13" s="7" t="s">
        <v>492</v>
      </c>
      <c r="C13" s="7" t="s">
        <v>493</v>
      </c>
      <c r="D13" s="7" t="s">
        <v>473</v>
      </c>
      <c r="E13" s="7">
        <v>90</v>
      </c>
      <c r="F13" s="7" t="s">
        <v>479</v>
      </c>
      <c r="G13" s="7" t="s">
        <v>475</v>
      </c>
      <c r="H13" s="7" t="s">
        <v>485</v>
      </c>
      <c r="I13" s="7" t="s">
        <v>488</v>
      </c>
    </row>
    <row r="14" spans="1:9" x14ac:dyDescent="0.55000000000000004">
      <c r="A14" s="7" t="s">
        <v>51</v>
      </c>
      <c r="B14" s="7" t="s">
        <v>494</v>
      </c>
      <c r="C14" s="7" t="s">
        <v>52</v>
      </c>
      <c r="D14" s="7" t="s">
        <v>473</v>
      </c>
      <c r="E14" s="7">
        <v>100</v>
      </c>
      <c r="F14" s="7" t="s">
        <v>495</v>
      </c>
      <c r="G14" s="7" t="s">
        <v>475</v>
      </c>
      <c r="H14" s="7" t="s">
        <v>496</v>
      </c>
      <c r="I14" s="7" t="s">
        <v>497</v>
      </c>
    </row>
    <row r="15" spans="1:9" x14ac:dyDescent="0.55000000000000004">
      <c r="A15" s="7" t="s">
        <v>54</v>
      </c>
      <c r="B15" s="7" t="s">
        <v>498</v>
      </c>
      <c r="C15" s="7" t="s">
        <v>439</v>
      </c>
      <c r="D15" s="7" t="s">
        <v>499</v>
      </c>
      <c r="E15" s="7">
        <v>2</v>
      </c>
      <c r="F15" s="7" t="s">
        <v>474</v>
      </c>
      <c r="G15" s="7" t="s">
        <v>500</v>
      </c>
      <c r="H15" s="7" t="s">
        <v>476</v>
      </c>
      <c r="I15" s="7" t="s">
        <v>497</v>
      </c>
    </row>
    <row r="16" spans="1:9" x14ac:dyDescent="0.55000000000000004">
      <c r="A16" s="7" t="s">
        <v>58</v>
      </c>
      <c r="B16" s="7" t="s">
        <v>501</v>
      </c>
      <c r="C16" s="7" t="s">
        <v>59</v>
      </c>
      <c r="D16" s="7" t="s">
        <v>473</v>
      </c>
      <c r="E16" s="7">
        <v>3</v>
      </c>
      <c r="F16" s="7" t="s">
        <v>474</v>
      </c>
      <c r="G16" s="7" t="s">
        <v>475</v>
      </c>
      <c r="H16" s="7" t="s">
        <v>485</v>
      </c>
      <c r="I16" s="7" t="s">
        <v>497</v>
      </c>
    </row>
    <row r="17" spans="1:9" x14ac:dyDescent="0.55000000000000004">
      <c r="A17" s="7" t="s">
        <v>62</v>
      </c>
      <c r="B17" s="7" t="s">
        <v>502</v>
      </c>
      <c r="C17" s="7" t="s">
        <v>63</v>
      </c>
      <c r="D17" s="7" t="s">
        <v>473</v>
      </c>
      <c r="E17" s="7">
        <v>1</v>
      </c>
      <c r="F17" s="7" t="s">
        <v>474</v>
      </c>
      <c r="G17" s="7" t="s">
        <v>475</v>
      </c>
      <c r="H17" s="7" t="s">
        <v>485</v>
      </c>
      <c r="I17" s="7" t="s">
        <v>497</v>
      </c>
    </row>
    <row r="18" spans="1:9" x14ac:dyDescent="0.55000000000000004">
      <c r="A18" s="7" t="s">
        <v>66</v>
      </c>
      <c r="B18" s="7" t="s">
        <v>503</v>
      </c>
      <c r="C18" s="7" t="s">
        <v>504</v>
      </c>
      <c r="D18" s="7" t="s">
        <v>499</v>
      </c>
      <c r="E18" s="7">
        <v>3</v>
      </c>
      <c r="F18" s="7" t="s">
        <v>474</v>
      </c>
      <c r="G18" s="7" t="s">
        <v>500</v>
      </c>
      <c r="H18" s="7" t="s">
        <v>476</v>
      </c>
      <c r="I18" s="7" t="s">
        <v>497</v>
      </c>
    </row>
    <row r="19" spans="1:9" x14ac:dyDescent="0.55000000000000004">
      <c r="A19" s="7" t="s">
        <v>138</v>
      </c>
      <c r="B19" s="7" t="s">
        <v>505</v>
      </c>
      <c r="C19" s="7" t="s">
        <v>139</v>
      </c>
      <c r="D19" s="7" t="s">
        <v>499</v>
      </c>
      <c r="E19" s="7">
        <v>5</v>
      </c>
      <c r="F19" s="7" t="s">
        <v>474</v>
      </c>
      <c r="G19" s="7" t="s">
        <v>500</v>
      </c>
      <c r="H19" s="7" t="s">
        <v>476</v>
      </c>
      <c r="I19" s="7" t="s">
        <v>506</v>
      </c>
    </row>
    <row r="20" spans="1:9" x14ac:dyDescent="0.55000000000000004">
      <c r="A20" s="7" t="s">
        <v>141</v>
      </c>
      <c r="B20" s="7" t="s">
        <v>507</v>
      </c>
      <c r="C20" s="7" t="s">
        <v>142</v>
      </c>
      <c r="D20" s="7" t="s">
        <v>473</v>
      </c>
      <c r="E20" s="7">
        <v>90</v>
      </c>
      <c r="F20" s="7" t="s">
        <v>479</v>
      </c>
      <c r="G20" s="7" t="s">
        <v>475</v>
      </c>
      <c r="H20" s="7" t="s">
        <v>476</v>
      </c>
      <c r="I20" s="7" t="s">
        <v>506</v>
      </c>
    </row>
    <row r="21" spans="1:9" x14ac:dyDescent="0.55000000000000004">
      <c r="A21" s="7" t="s">
        <v>143</v>
      </c>
      <c r="B21" s="7" t="s">
        <v>508</v>
      </c>
      <c r="C21" s="7" t="s">
        <v>441</v>
      </c>
      <c r="D21" s="7" t="s">
        <v>499</v>
      </c>
      <c r="E21" s="7">
        <v>0</v>
      </c>
      <c r="F21" s="7" t="s">
        <v>495</v>
      </c>
      <c r="G21" s="7" t="s">
        <v>500</v>
      </c>
      <c r="H21" s="7" t="s">
        <v>476</v>
      </c>
      <c r="I21" s="7" t="s">
        <v>506</v>
      </c>
    </row>
    <row r="22" spans="1:9" x14ac:dyDescent="0.55000000000000004">
      <c r="A22" s="7" t="s">
        <v>145</v>
      </c>
      <c r="B22" s="7" t="s">
        <v>509</v>
      </c>
      <c r="C22" s="7" t="s">
        <v>442</v>
      </c>
      <c r="D22" s="7" t="s">
        <v>481</v>
      </c>
      <c r="E22" s="7">
        <v>10</v>
      </c>
      <c r="F22" s="7" t="s">
        <v>474</v>
      </c>
      <c r="G22" s="7" t="s">
        <v>482</v>
      </c>
      <c r="H22" s="7" t="s">
        <v>476</v>
      </c>
      <c r="I22" s="7" t="s">
        <v>506</v>
      </c>
    </row>
    <row r="23" spans="1:9" x14ac:dyDescent="0.55000000000000004">
      <c r="A23" s="7" t="s">
        <v>148</v>
      </c>
      <c r="B23" s="7" t="s">
        <v>510</v>
      </c>
      <c r="C23" s="7" t="s">
        <v>443</v>
      </c>
      <c r="D23" s="7" t="s">
        <v>473</v>
      </c>
      <c r="E23" s="7">
        <v>5</v>
      </c>
      <c r="F23" s="7" t="s">
        <v>474</v>
      </c>
      <c r="G23" s="7" t="s">
        <v>475</v>
      </c>
      <c r="H23" s="7" t="s">
        <v>511</v>
      </c>
      <c r="I23" s="7" t="s">
        <v>506</v>
      </c>
    </row>
    <row r="24" spans="1:9" x14ac:dyDescent="0.55000000000000004">
      <c r="A24" s="7" t="s">
        <v>431</v>
      </c>
      <c r="B24" s="7" t="s">
        <v>512</v>
      </c>
      <c r="C24" s="7" t="s">
        <v>432</v>
      </c>
      <c r="D24" s="7" t="s">
        <v>473</v>
      </c>
      <c r="E24" s="7">
        <v>90</v>
      </c>
      <c r="F24" s="7" t="s">
        <v>479</v>
      </c>
      <c r="G24" s="7" t="s">
        <v>475</v>
      </c>
      <c r="H24" s="7" t="s">
        <v>485</v>
      </c>
      <c r="I24" s="7" t="s">
        <v>506</v>
      </c>
    </row>
    <row r="25" spans="1:9" x14ac:dyDescent="0.55000000000000004">
      <c r="A25" s="7" t="s">
        <v>245</v>
      </c>
      <c r="B25" s="7" t="s">
        <v>513</v>
      </c>
      <c r="C25" s="7" t="s">
        <v>445</v>
      </c>
      <c r="D25" s="7" t="s">
        <v>481</v>
      </c>
      <c r="E25" s="7">
        <v>30</v>
      </c>
      <c r="F25" s="7" t="s">
        <v>474</v>
      </c>
      <c r="G25" s="7" t="s">
        <v>482</v>
      </c>
      <c r="H25" s="7" t="s">
        <v>514</v>
      </c>
      <c r="I25" s="7" t="s">
        <v>515</v>
      </c>
    </row>
    <row r="26" spans="1:9" x14ac:dyDescent="0.55000000000000004">
      <c r="A26" s="7" t="s">
        <v>248</v>
      </c>
      <c r="B26" s="7" t="s">
        <v>516</v>
      </c>
      <c r="C26" s="7" t="s">
        <v>249</v>
      </c>
      <c r="D26" s="7" t="s">
        <v>473</v>
      </c>
      <c r="E26" s="7">
        <v>85</v>
      </c>
      <c r="F26" s="7" t="s">
        <v>479</v>
      </c>
      <c r="G26" s="7" t="s">
        <v>475</v>
      </c>
      <c r="H26" s="7" t="s">
        <v>517</v>
      </c>
      <c r="I26" s="7" t="s">
        <v>515</v>
      </c>
    </row>
    <row r="27" spans="1:9" x14ac:dyDescent="0.55000000000000004">
      <c r="A27" s="7" t="s">
        <v>250</v>
      </c>
      <c r="B27" s="7" t="s">
        <v>518</v>
      </c>
      <c r="C27" s="7" t="s">
        <v>251</v>
      </c>
      <c r="D27" s="7" t="s">
        <v>473</v>
      </c>
      <c r="E27" s="7">
        <v>90</v>
      </c>
      <c r="F27" s="7" t="s">
        <v>479</v>
      </c>
      <c r="G27" s="7" t="s">
        <v>475</v>
      </c>
      <c r="H27" s="7" t="s">
        <v>517</v>
      </c>
      <c r="I27" s="7" t="s">
        <v>515</v>
      </c>
    </row>
    <row r="28" spans="1:9" x14ac:dyDescent="0.55000000000000004">
      <c r="A28" s="7" t="s">
        <v>252</v>
      </c>
      <c r="B28" s="7" t="s">
        <v>519</v>
      </c>
      <c r="C28" s="7" t="s">
        <v>447</v>
      </c>
      <c r="D28" s="7" t="s">
        <v>481</v>
      </c>
      <c r="E28" s="7">
        <v>45</v>
      </c>
      <c r="F28" s="7" t="s">
        <v>474</v>
      </c>
      <c r="G28" s="7" t="s">
        <v>482</v>
      </c>
      <c r="H28" s="7" t="s">
        <v>514</v>
      </c>
      <c r="I28" s="7" t="s">
        <v>515</v>
      </c>
    </row>
    <row r="29" spans="1:9" x14ac:dyDescent="0.55000000000000004">
      <c r="A29" s="7" t="s">
        <v>255</v>
      </c>
      <c r="B29" s="7" t="s">
        <v>520</v>
      </c>
      <c r="C29" s="7" t="s">
        <v>256</v>
      </c>
      <c r="D29" s="7" t="s">
        <v>499</v>
      </c>
      <c r="E29" s="7" t="s">
        <v>521</v>
      </c>
      <c r="F29" s="7" t="s">
        <v>522</v>
      </c>
      <c r="G29" s="7" t="s">
        <v>500</v>
      </c>
      <c r="H29" s="7" t="s">
        <v>476</v>
      </c>
      <c r="I29" s="7" t="s">
        <v>515</v>
      </c>
    </row>
    <row r="30" spans="1:9" x14ac:dyDescent="0.55000000000000004">
      <c r="A30" s="7" t="s">
        <v>259</v>
      </c>
      <c r="B30" s="7" t="s">
        <v>523</v>
      </c>
      <c r="C30" s="7" t="s">
        <v>524</v>
      </c>
      <c r="D30" s="7" t="s">
        <v>499</v>
      </c>
      <c r="E30" s="7" t="s">
        <v>521</v>
      </c>
      <c r="F30" s="7" t="s">
        <v>522</v>
      </c>
      <c r="G30" s="7" t="s">
        <v>500</v>
      </c>
      <c r="H30" s="7" t="s">
        <v>476</v>
      </c>
      <c r="I30" s="7" t="s">
        <v>515</v>
      </c>
    </row>
    <row r="31" spans="1:9" x14ac:dyDescent="0.55000000000000004">
      <c r="A31" s="7" t="s">
        <v>362</v>
      </c>
      <c r="B31" s="7" t="s">
        <v>525</v>
      </c>
      <c r="C31" s="7" t="s">
        <v>449</v>
      </c>
      <c r="D31" s="7" t="s">
        <v>526</v>
      </c>
      <c r="E31" s="7">
        <v>4</v>
      </c>
      <c r="F31" s="7" t="s">
        <v>479</v>
      </c>
      <c r="G31" s="7" t="s">
        <v>527</v>
      </c>
      <c r="H31" s="7" t="s">
        <v>517</v>
      </c>
      <c r="I31" s="7" t="s">
        <v>528</v>
      </c>
    </row>
    <row r="32" spans="1:9" x14ac:dyDescent="0.55000000000000004">
      <c r="A32" s="7" t="s">
        <v>317</v>
      </c>
      <c r="B32" s="7" t="s">
        <v>529</v>
      </c>
      <c r="C32" s="7" t="s">
        <v>450</v>
      </c>
      <c r="D32" s="7" t="s">
        <v>473</v>
      </c>
      <c r="E32" s="7">
        <v>90</v>
      </c>
      <c r="F32" s="7" t="s">
        <v>479</v>
      </c>
      <c r="G32" s="7" t="s">
        <v>475</v>
      </c>
      <c r="H32" s="7" t="s">
        <v>476</v>
      </c>
      <c r="I32" s="7" t="s">
        <v>528</v>
      </c>
    </row>
    <row r="33" spans="1:9" x14ac:dyDescent="0.55000000000000004">
      <c r="A33" s="7" t="s">
        <v>365</v>
      </c>
      <c r="B33" s="7" t="s">
        <v>530</v>
      </c>
      <c r="C33" s="7" t="s">
        <v>451</v>
      </c>
      <c r="D33" s="7" t="s">
        <v>526</v>
      </c>
      <c r="E33" s="7">
        <v>8</v>
      </c>
      <c r="F33" s="7" t="s">
        <v>479</v>
      </c>
      <c r="G33" s="7" t="s">
        <v>531</v>
      </c>
      <c r="H33" s="7" t="s">
        <v>517</v>
      </c>
      <c r="I33" s="7" t="s">
        <v>528</v>
      </c>
    </row>
    <row r="34" spans="1:9" x14ac:dyDescent="0.55000000000000004">
      <c r="A34" s="7" t="s">
        <v>332</v>
      </c>
      <c r="B34" s="7" t="s">
        <v>532</v>
      </c>
      <c r="C34" s="7" t="s">
        <v>453</v>
      </c>
      <c r="D34" s="7" t="s">
        <v>473</v>
      </c>
      <c r="E34" s="7">
        <v>18</v>
      </c>
      <c r="F34" s="7" t="s">
        <v>474</v>
      </c>
      <c r="G34" s="7" t="s">
        <v>475</v>
      </c>
      <c r="H34" s="7" t="s">
        <v>533</v>
      </c>
      <c r="I34" s="7" t="s">
        <v>534</v>
      </c>
    </row>
    <row r="35" spans="1:9" x14ac:dyDescent="0.55000000000000004">
      <c r="A35" s="7" t="s">
        <v>336</v>
      </c>
      <c r="B35" s="7" t="s">
        <v>535</v>
      </c>
      <c r="C35" s="7" t="s">
        <v>454</v>
      </c>
      <c r="D35" s="7" t="s">
        <v>473</v>
      </c>
      <c r="E35" s="7">
        <v>80</v>
      </c>
      <c r="F35" s="7" t="s">
        <v>479</v>
      </c>
      <c r="G35" s="7" t="s">
        <v>475</v>
      </c>
      <c r="H35" s="7" t="s">
        <v>536</v>
      </c>
      <c r="I35" s="7" t="s">
        <v>534</v>
      </c>
    </row>
    <row r="36" spans="1:9" x14ac:dyDescent="0.55000000000000004">
      <c r="A36" s="7" t="s">
        <v>340</v>
      </c>
      <c r="B36" s="7" t="s">
        <v>537</v>
      </c>
      <c r="C36" s="7" t="s">
        <v>455</v>
      </c>
      <c r="D36" s="7" t="s">
        <v>473</v>
      </c>
      <c r="E36" s="7">
        <v>100</v>
      </c>
      <c r="F36" s="7" t="s">
        <v>495</v>
      </c>
      <c r="G36" s="7" t="s">
        <v>475</v>
      </c>
      <c r="H36" s="7" t="s">
        <v>485</v>
      </c>
      <c r="I36" s="7" t="s">
        <v>534</v>
      </c>
    </row>
    <row r="37" spans="1:9" x14ac:dyDescent="0.55000000000000004">
      <c r="A37" s="7" t="s">
        <v>343</v>
      </c>
      <c r="B37" s="7" t="s">
        <v>538</v>
      </c>
      <c r="C37" s="7" t="s">
        <v>344</v>
      </c>
      <c r="D37" s="7" t="s">
        <v>499</v>
      </c>
      <c r="E37" s="7">
        <v>8</v>
      </c>
      <c r="F37" s="7" t="s">
        <v>474</v>
      </c>
      <c r="G37" s="7" t="s">
        <v>539</v>
      </c>
      <c r="H37" s="7" t="s">
        <v>485</v>
      </c>
      <c r="I37" s="7" t="s">
        <v>534</v>
      </c>
    </row>
    <row r="38" spans="1:9" x14ac:dyDescent="0.55000000000000004">
      <c r="A38" s="7" t="s">
        <v>347</v>
      </c>
      <c r="B38" s="7" t="s">
        <v>540</v>
      </c>
      <c r="C38" s="7" t="s">
        <v>456</v>
      </c>
      <c r="D38" s="7" t="s">
        <v>473</v>
      </c>
      <c r="E38" s="7">
        <v>90</v>
      </c>
      <c r="F38" s="7" t="s">
        <v>479</v>
      </c>
      <c r="G38" s="7" t="s">
        <v>475</v>
      </c>
      <c r="H38" s="7" t="s">
        <v>485</v>
      </c>
      <c r="I38" s="7" t="s">
        <v>534</v>
      </c>
    </row>
    <row r="39" spans="1:9" x14ac:dyDescent="0.55000000000000004">
      <c r="A39" s="7" t="s">
        <v>349</v>
      </c>
      <c r="B39" s="7" t="s">
        <v>541</v>
      </c>
      <c r="C39" s="7" t="s">
        <v>457</v>
      </c>
      <c r="D39" s="7" t="s">
        <v>526</v>
      </c>
      <c r="E39" s="7" t="s">
        <v>351</v>
      </c>
      <c r="F39" s="7" t="s">
        <v>542</v>
      </c>
      <c r="G39" s="7" t="s">
        <v>543</v>
      </c>
      <c r="H39" s="7" t="s">
        <v>476</v>
      </c>
      <c r="I39" s="7" t="s">
        <v>534</v>
      </c>
    </row>
    <row r="40" spans="1:9" x14ac:dyDescent="0.55000000000000004">
      <c r="A40" s="7" t="s">
        <v>73</v>
      </c>
      <c r="B40" s="7" t="s">
        <v>544</v>
      </c>
      <c r="C40" s="7" t="s">
        <v>545</v>
      </c>
      <c r="D40" s="7" t="s">
        <v>526</v>
      </c>
      <c r="E40" s="7" t="s">
        <v>75</v>
      </c>
      <c r="F40" s="7" t="s">
        <v>542</v>
      </c>
      <c r="G40" s="7" t="s">
        <v>500</v>
      </c>
      <c r="H40" s="7" t="s">
        <v>485</v>
      </c>
      <c r="I40" s="7" t="s">
        <v>546</v>
      </c>
    </row>
    <row r="41" spans="1:9" x14ac:dyDescent="0.55000000000000004">
      <c r="A41" s="7" t="s">
        <v>77</v>
      </c>
      <c r="B41" s="7" t="s">
        <v>547</v>
      </c>
      <c r="C41" s="7" t="s">
        <v>548</v>
      </c>
      <c r="D41" s="7" t="s">
        <v>526</v>
      </c>
      <c r="E41" s="7" t="s">
        <v>79</v>
      </c>
      <c r="F41" s="7" t="s">
        <v>542</v>
      </c>
      <c r="G41" s="7" t="s">
        <v>500</v>
      </c>
      <c r="H41" s="7" t="s">
        <v>476</v>
      </c>
      <c r="I41" s="7" t="s">
        <v>546</v>
      </c>
    </row>
    <row r="42" spans="1:9" x14ac:dyDescent="0.55000000000000004">
      <c r="A42" s="7" t="s">
        <v>404</v>
      </c>
      <c r="B42" s="7" t="s">
        <v>549</v>
      </c>
      <c r="C42" s="7" t="s">
        <v>458</v>
      </c>
      <c r="D42" s="7" t="s">
        <v>481</v>
      </c>
      <c r="E42" s="7">
        <v>4</v>
      </c>
      <c r="F42" s="7" t="s">
        <v>474</v>
      </c>
      <c r="G42" s="7" t="s">
        <v>550</v>
      </c>
      <c r="H42" s="7" t="s">
        <v>496</v>
      </c>
      <c r="I42" s="7" t="s">
        <v>546</v>
      </c>
    </row>
    <row r="43" spans="1:9" x14ac:dyDescent="0.55000000000000004">
      <c r="A43" s="7" t="s">
        <v>81</v>
      </c>
      <c r="B43" s="7" t="s">
        <v>551</v>
      </c>
      <c r="C43" s="7" t="s">
        <v>552</v>
      </c>
      <c r="D43" s="7" t="s">
        <v>473</v>
      </c>
      <c r="E43" s="7">
        <v>100</v>
      </c>
      <c r="F43" s="7" t="s">
        <v>495</v>
      </c>
      <c r="G43" s="7" t="s">
        <v>475</v>
      </c>
      <c r="H43" s="7" t="s">
        <v>553</v>
      </c>
      <c r="I43" s="7" t="s">
        <v>546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5"/>
  <sheetViews>
    <sheetView zoomScaleNormal="100" workbookViewId="0">
      <selection sqref="A1:C1"/>
    </sheetView>
  </sheetViews>
  <sheetFormatPr baseColWidth="10" defaultColWidth="8.68359375" defaultRowHeight="14.4" x14ac:dyDescent="0.55000000000000004"/>
  <cols>
    <col min="1" max="1" width="30" customWidth="1"/>
    <col min="2" max="2" width="60" customWidth="1"/>
  </cols>
  <sheetData>
    <row r="1" spans="1:3" ht="19.8" x14ac:dyDescent="0.65">
      <c r="A1" s="2" t="s">
        <v>554</v>
      </c>
      <c r="B1" s="2"/>
      <c r="C1" s="2"/>
    </row>
    <row r="3" spans="1:3" ht="15.3" x14ac:dyDescent="0.55000000000000004">
      <c r="A3" s="5" t="s">
        <v>555</v>
      </c>
    </row>
    <row r="5" spans="1:3" x14ac:dyDescent="0.55000000000000004">
      <c r="A5" s="14" t="s">
        <v>556</v>
      </c>
      <c r="B5" t="s">
        <v>557</v>
      </c>
    </row>
    <row r="6" spans="1:3" x14ac:dyDescent="0.55000000000000004">
      <c r="A6" s="14" t="s">
        <v>558</v>
      </c>
      <c r="B6" t="s">
        <v>559</v>
      </c>
    </row>
    <row r="7" spans="1:3" x14ac:dyDescent="0.55000000000000004">
      <c r="A7" s="14" t="s">
        <v>560</v>
      </c>
      <c r="B7" t="s">
        <v>561</v>
      </c>
    </row>
    <row r="8" spans="1:3" x14ac:dyDescent="0.55000000000000004">
      <c r="A8" s="14" t="s">
        <v>562</v>
      </c>
      <c r="B8" t="s">
        <v>563</v>
      </c>
    </row>
    <row r="9" spans="1:3" x14ac:dyDescent="0.55000000000000004">
      <c r="A9" s="14" t="s">
        <v>564</v>
      </c>
      <c r="B9" t="s">
        <v>565</v>
      </c>
    </row>
    <row r="10" spans="1:3" x14ac:dyDescent="0.55000000000000004">
      <c r="A10" s="14" t="s">
        <v>566</v>
      </c>
      <c r="B10" t="s">
        <v>567</v>
      </c>
    </row>
    <row r="11" spans="1:3" x14ac:dyDescent="0.55000000000000004">
      <c r="A11" s="14" t="s">
        <v>568</v>
      </c>
      <c r="B11" t="s">
        <v>569</v>
      </c>
    </row>
    <row r="12" spans="1:3" x14ac:dyDescent="0.55000000000000004">
      <c r="A12" s="14" t="s">
        <v>570</v>
      </c>
      <c r="B12" t="s">
        <v>571</v>
      </c>
    </row>
    <row r="13" spans="1:3" x14ac:dyDescent="0.55000000000000004">
      <c r="A13" s="14" t="s">
        <v>572</v>
      </c>
      <c r="B13" t="s">
        <v>573</v>
      </c>
    </row>
    <row r="14" spans="1:3" x14ac:dyDescent="0.55000000000000004">
      <c r="A14" s="14" t="s">
        <v>574</v>
      </c>
      <c r="B14" t="s">
        <v>575</v>
      </c>
    </row>
    <row r="16" spans="1:3" ht="15.3" x14ac:dyDescent="0.55000000000000004">
      <c r="A16" s="5" t="s">
        <v>576</v>
      </c>
    </row>
    <row r="18" spans="1:2" x14ac:dyDescent="0.55000000000000004">
      <c r="A18" t="s">
        <v>577</v>
      </c>
      <c r="B18" t="s">
        <v>578</v>
      </c>
    </row>
    <row r="19" spans="1:2" x14ac:dyDescent="0.55000000000000004">
      <c r="A19" t="s">
        <v>579</v>
      </c>
      <c r="B19" t="s">
        <v>580</v>
      </c>
    </row>
    <row r="20" spans="1:2" x14ac:dyDescent="0.55000000000000004">
      <c r="A20" t="s">
        <v>581</v>
      </c>
      <c r="B20" t="s">
        <v>582</v>
      </c>
    </row>
    <row r="21" spans="1:2" x14ac:dyDescent="0.55000000000000004">
      <c r="A21" t="s">
        <v>583</v>
      </c>
      <c r="B21" t="s">
        <v>584</v>
      </c>
    </row>
    <row r="22" spans="1:2" x14ac:dyDescent="0.55000000000000004">
      <c r="A22" t="s">
        <v>585</v>
      </c>
      <c r="B22" t="s">
        <v>586</v>
      </c>
    </row>
    <row r="23" spans="1:2" x14ac:dyDescent="0.55000000000000004">
      <c r="A23" t="s">
        <v>587</v>
      </c>
      <c r="B23" t="s">
        <v>588</v>
      </c>
    </row>
    <row r="24" spans="1:2" x14ac:dyDescent="0.55000000000000004">
      <c r="A24" t="s">
        <v>589</v>
      </c>
      <c r="B24" t="s">
        <v>590</v>
      </c>
    </row>
    <row r="25" spans="1:2" x14ac:dyDescent="0.55000000000000004">
      <c r="A25" t="s">
        <v>591</v>
      </c>
      <c r="B25" t="s">
        <v>592</v>
      </c>
    </row>
    <row r="26" spans="1:2" x14ac:dyDescent="0.55000000000000004">
      <c r="A26" t="s">
        <v>593</v>
      </c>
      <c r="B26" t="s">
        <v>594</v>
      </c>
    </row>
    <row r="28" spans="1:2" ht="15.3" x14ac:dyDescent="0.55000000000000004">
      <c r="A28" s="5" t="s">
        <v>595</v>
      </c>
    </row>
    <row r="30" spans="1:2" x14ac:dyDescent="0.55000000000000004">
      <c r="A30" t="s">
        <v>596</v>
      </c>
      <c r="B30" t="s">
        <v>597</v>
      </c>
    </row>
    <row r="31" spans="1:2" x14ac:dyDescent="0.55000000000000004">
      <c r="A31" t="s">
        <v>598</v>
      </c>
      <c r="B31" t="s">
        <v>599</v>
      </c>
    </row>
    <row r="32" spans="1:2" x14ac:dyDescent="0.55000000000000004">
      <c r="A32" t="s">
        <v>600</v>
      </c>
      <c r="B32" t="s">
        <v>601</v>
      </c>
    </row>
    <row r="33" spans="1:2" x14ac:dyDescent="0.55000000000000004">
      <c r="A33" t="s">
        <v>602</v>
      </c>
      <c r="B33" t="s">
        <v>603</v>
      </c>
    </row>
    <row r="35" spans="1:2" ht="15.3" x14ac:dyDescent="0.55000000000000004">
      <c r="A35" s="5" t="s">
        <v>604</v>
      </c>
      <c r="B35" t="s">
        <v>605</v>
      </c>
    </row>
    <row r="37" spans="1:2" ht="15.3" x14ac:dyDescent="0.55000000000000004">
      <c r="A37" s="5" t="s">
        <v>606</v>
      </c>
    </row>
    <row r="38" spans="1:2" x14ac:dyDescent="0.55000000000000004">
      <c r="A38" t="s">
        <v>607</v>
      </c>
      <c r="B38" t="s">
        <v>608</v>
      </c>
    </row>
    <row r="39" spans="1:2" x14ac:dyDescent="0.55000000000000004">
      <c r="A39" t="s">
        <v>609</v>
      </c>
      <c r="B39" t="s">
        <v>610</v>
      </c>
    </row>
    <row r="40" spans="1:2" x14ac:dyDescent="0.55000000000000004">
      <c r="A40" t="s">
        <v>611</v>
      </c>
      <c r="B40" t="s">
        <v>608</v>
      </c>
    </row>
    <row r="41" spans="1:2" x14ac:dyDescent="0.55000000000000004">
      <c r="A41" t="s">
        <v>612</v>
      </c>
      <c r="B41" t="s">
        <v>613</v>
      </c>
    </row>
    <row r="42" spans="1:2" x14ac:dyDescent="0.55000000000000004">
      <c r="A42" t="s">
        <v>614</v>
      </c>
      <c r="B42" t="s">
        <v>613</v>
      </c>
    </row>
    <row r="43" spans="1:2" x14ac:dyDescent="0.55000000000000004">
      <c r="A43" t="s">
        <v>615</v>
      </c>
      <c r="B43" t="s">
        <v>616</v>
      </c>
    </row>
    <row r="44" spans="1:2" x14ac:dyDescent="0.55000000000000004">
      <c r="A44" t="s">
        <v>617</v>
      </c>
      <c r="B44" t="s">
        <v>613</v>
      </c>
    </row>
    <row r="45" spans="1:2" x14ac:dyDescent="0.55000000000000004">
      <c r="A45" t="s">
        <v>618</v>
      </c>
      <c r="B45" t="s">
        <v>610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Registro Semanal</vt:lpstr>
      <vt:lpstr>Tracking Action Items</vt:lpstr>
      <vt:lpstr>Contacto Pacientes</vt:lpstr>
      <vt:lpstr>Start-up Tracker</vt:lpstr>
      <vt:lpstr>Consultas CRA-Sponsor</vt:lpstr>
      <vt:lpstr>Gestión Equipo</vt:lpstr>
      <vt:lpstr>Evaluación Sponsor</vt:lpstr>
      <vt:lpstr>Contingencias</vt:lpstr>
      <vt:lpstr>Audit Readiness</vt:lpstr>
      <vt:lpstr>Scorecard SC Lead</vt:lpstr>
      <vt:lpstr>Specs VS Code</vt:lpstr>
      <vt:lpstr>Guía Rápida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Pablo Garcia</cp:lastModifiedBy>
  <cp:revision>0</cp:revision>
  <dcterms:created xsi:type="dcterms:W3CDTF">2026-01-12T16:47:10Z</dcterms:created>
  <dcterms:modified xsi:type="dcterms:W3CDTF">2026-01-12T17:51:49Z</dcterms:modified>
  <dc:language>en-US</dc:language>
</cp:coreProperties>
</file>